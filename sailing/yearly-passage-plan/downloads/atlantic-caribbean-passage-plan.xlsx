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1605e7030846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ute Plan" sheetId="1" r:id="R88232e790bec44bd"/>
    <x:sheet xmlns:r="http://schemas.openxmlformats.org/officeDocument/2006/relationships" name="Conditions" sheetId="2" r:id="Rd2f5a7dc3f7d4248"/>
    <x:sheet xmlns:r="http://schemas.openxmlformats.org/officeDocument/2006/relationships" name="Budget" sheetId="3" r:id="Ra062f5a85d5740cb"/>
    <x:sheet xmlns:r="http://schemas.openxmlformats.org/officeDocument/2006/relationships" name="Assumptions &amp; Sources" sheetId="4" r:id="R525617eac1994f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%"/>
    <x:numFmt numFmtId="201" formatCode="$0.00"/>
    <x:numFmt numFmtId="202" formatCode="$#,##0"/>
    <x:numFmt numFmtId="203" formatCode="#,##0 &quot;nm&quot;"/>
    <x:numFmt numFmtId="204" formatCode="0.0"/>
    <x:numFmt numFmtId="205" formatCode="0"/>
    <x:numFmt numFmtId="206" formatCode="mmm d, yyyy"/>
  </x:numFmts>
  <x:fonts count="10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02A43"/>
      <x:name val="Carlito"/>
    </x:font>
    <x:font>
      <x:b/>
      <x:sz val="11"/>
      <x:color rgb="FF9B2C2C"/>
      <x:name val="Carlito"/>
    </x:font>
    <x:font>
      <x:b/>
      <x:sz val="17"/>
      <x:color rgb="FFFFFFFF"/>
      <x:name val="Carlito"/>
    </x:font>
    <x:font>
      <x:i/>
      <x:sz val="11"/>
      <x:color rgb="FF102A43"/>
      <x:name val="Carlito"/>
    </x:font>
    <x:font>
      <x:b/>
      <x:sz val="13"/>
      <x:color rgb="FF102A43"/>
      <x:name val="Carlito"/>
    </x:font>
    <x:font>
      <x:sz val="10"/>
      <x:color rgb="FF102A43"/>
      <x:name val="Carlito"/>
    </x:font>
    <x:font>
      <x:sz val="11"/>
      <x:color rgb="FF102A43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1677A6"/>
      </x:patternFill>
    </x:fill>
    <x:fill>
      <x:patternFill patternType="solid">
        <x:fgColor rgb="FFFFF4CC"/>
      </x:patternFill>
    </x:fill>
    <x:fill>
      <x:patternFill patternType="solid">
        <x:fgColor rgb="FF16836B"/>
      </x:patternFill>
    </x:fill>
    <x:fill>
      <x:patternFill patternType="solid">
        <x:fgColor rgb="FFFDECEC"/>
      </x:patternFill>
    </x:fill>
    <x:fill>
      <x:patternFill patternType="solid">
        <x:fgColor rgb="FFE8F3F8"/>
      </x:patternFill>
    </x:fill>
    <x:fill>
      <x:patternFill patternType="solid">
        <x:fgColor rgb="FFE7F4F0"/>
      </x:patternFill>
    </x:fill>
  </x:fills>
  <x:borders count="1">
    <x:border/>
  </x:borders>
  <x:cellStyleXfs count="1">
    <x:xf numFmtId="0" fontId="0" fillId="0" borderId="0"/>
  </x:cellStyleXfs>
  <x:cellXfs count="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3" fillId="4" borderId="0" xfId="0" applyNumberFormat="1" applyFont="1" applyFill="1" applyBorder="1"/>
    <x:xf numFmtId="201" fontId="3" fillId="4" borderId="0" xfId="0" applyNumberFormat="1" applyFont="1" applyFill="1" applyBorder="1"/>
    <x:xf numFmtId="202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7" fillId="7" borderId="0" xfId="0" applyNumberFormat="1" applyFont="1" applyFill="1" applyBorder="1"/>
    <x:xf numFmtId="203" fontId="7" fillId="7" borderId="0" xfId="0" applyNumberFormat="1" applyFont="1" applyFill="1" applyBorder="1"/>
    <x:xf numFmtId="203" fontId="7" fillId="7" borderId="0" xfId="0" applyNumberFormat="1" applyFont="1" applyFill="1" applyBorder="1" applyAlignment="1">
      <x:alignment horizontal="center"/>
    </x:xf>
    <x:xf numFmtId="204" fontId="7" fillId="7" borderId="0" xfId="0" applyNumberFormat="1" applyFont="1" applyFill="1" applyBorder="1"/>
    <x:xf numFmtId="204" fontId="7" fillId="7" borderId="0" xfId="0" applyNumberFormat="1" applyFont="1" applyFill="1" applyBorder="1" applyAlignment="1">
      <x:alignment horizontal="center"/>
    </x:xf>
    <x:xf numFmtId="205" fontId="7" fillId="7" borderId="0" xfId="0" applyNumberFormat="1" applyFont="1" applyFill="1" applyBorder="1"/>
    <x:xf numFmtId="205" fontId="7" fillId="7" borderId="0" xfId="0" applyNumberFormat="1" applyFont="1" applyFill="1" applyBorder="1" applyAlignment="1">
      <x:alignment horizontal="center"/>
    </x:xf>
    <x:xf numFmtId="202" fontId="7" fillId="7" borderId="0" xfId="0" applyNumberFormat="1" applyFont="1" applyFill="1" applyBorder="1"/>
    <x:xf numFmtId="202" fontId="7" fillId="7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top"/>
    </x:xf>
    <x:xf numFmtId="206" fontId="8" fillId="0" borderId="0" xfId="0" applyNumberFormat="1" applyFont="1" applyFill="1" applyBorder="1" applyAlignment="1">
      <x:alignment vertical="top"/>
    </x:xf>
    <x:xf numFmtId="204" fontId="8" fillId="0" borderId="0" xfId="0" applyNumberFormat="1" applyFont="1" applyFill="1" applyBorder="1" applyAlignment="1">
      <x:alignment vertical="top"/>
    </x:xf>
    <x:xf numFmtId="202" fontId="8" fillId="0" borderId="0" xfId="0" applyNumberFormat="1" applyFont="1" applyFill="1" applyBorder="1" applyAlignment="1">
      <x:alignment vertical="top"/>
    </x:xf>
    <x:xf numFmtId="206" fontId="8" fillId="4" borderId="0" xfId="0" applyNumberFormat="1" applyFont="1" applyFill="1" applyBorder="1" applyAlignment="1">
      <x:alignment vertical="top"/>
    </x:xf>
    <x:xf numFmtId="0" fontId="8" fillId="4" borderId="0" xfId="0" applyNumberFormat="1" applyFont="1" applyFill="1" applyBorder="1" applyAlignment="1">
      <x:alignment vertical="top"/>
    </x:xf>
    <x:xf numFmtId="204" fontId="8" fillId="4" borderId="0" xfId="0" applyNumberFormat="1" applyFont="1" applyFill="1" applyBorder="1" applyAlignment="1">
      <x:alignment vertical="top"/>
    </x:xf>
    <x:xf numFmtId="202" fontId="8" fillId="4" borderId="0" xfId="0" applyNumberFormat="1" applyFont="1" applyFill="1" applyBorder="1" applyAlignment="1">
      <x:alignment vertical="top"/>
    </x:xf>
    <x:xf numFmtId="204" fontId="8" fillId="7" borderId="0" xfId="0" applyNumberFormat="1" applyFont="1" applyFill="1" applyBorder="1" applyAlignment="1">
      <x:alignment vertical="top"/>
    </x:xf>
    <x:xf numFmtId="202" fontId="8" fillId="7" borderId="0" xfId="0" applyNumberFormat="1" applyFont="1" applyFill="1" applyBorder="1" applyAlignment="1">
      <x:alignment vertical="top"/>
    </x:xf>
    <x:xf numFmtId="202" fontId="8" fillId="8" borderId="0" xfId="0" applyNumberFormat="1" applyFont="1" applyFill="1" applyBorder="1" applyAlignment="1">
      <x:alignment vertical="top"/>
    </x:xf>
    <x:xf numFmtId="0" fontId="8" fillId="4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wrapText="1"/>
    </x:xf>
    <x:xf numFmtId="205" fontId="8" fillId="0" borderId="0" xfId="0" applyNumberFormat="1" applyFont="1" applyFill="1" applyBorder="1" applyAlignment="1">
      <x:alignment vertical="top" wrapText="1"/>
    </x:xf>
    <x:xf numFmtId="0" fontId="8" fillId="6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top" wrapText="1"/>
    </x:xf>
    <x:xf numFmtId="202" fontId="9" fillId="0" borderId="0" xfId="0" applyNumberFormat="1" applyFont="1" applyFill="1" applyBorder="1" applyAlignment="1">
      <x:alignment vertical="top" wrapText="1"/>
    </x:xf>
    <x:xf numFmtId="0" fontId="9" fillId="8" borderId="0" xfId="0" applyNumberFormat="1" applyFont="1" applyFill="1" applyBorder="1" applyAlignment="1">
      <x:alignment vertical="top" wrapText="1"/>
    </x:xf>
    <x:xf numFmtId="202" fontId="9" fillId="8" borderId="0" xfId="0" applyNumberFormat="1" applyFont="1" applyFill="1" applyBorder="1" applyAlignment="1">
      <x:alignment vertical="top" wrapText="1"/>
    </x:xf>
    <x:xf numFmtId="0" fontId="9" fillId="5" borderId="0" xfId="0" applyNumberFormat="1" applyFont="1" applyFill="1" applyBorder="1" applyAlignment="1">
      <x:alignment vertical="top" wrapText="1"/>
    </x:xf>
    <x:xf numFmtId="202" fontId="9" fillId="5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202" fontId="2" fillId="5" borderId="0" xfId="0" applyNumberFormat="1" applyFont="1" applyFill="1" applyBorder="1" applyAlignment="1">
      <x:alignment vertical="top" wrapText="1"/>
    </x:xf>
    <x:xf numFmtId="0" fontId="9" fillId="6" borderId="0" xfId="0" applyNumberFormat="1" applyFont="1" applyFill="1" applyBorder="1" applyAlignment="1">
      <x:alignment vertical="top" wrapText="1"/>
    </x:xf>
    <x:xf numFmtId="202" fontId="9" fillId="6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99a9c7657543ba" /><Relationship Type="http://schemas.openxmlformats.org/officeDocument/2006/relationships/theme" Target="/xl/theme/theme1.xml" Id="Rd395d5b20edc4e83" /><Relationship Type="http://schemas.openxmlformats.org/officeDocument/2006/relationships/sharedStrings" Target="/xl/sharedStrings.xml" Id="Rfc87ec94eed04fb4" /><Relationship Type="http://schemas.openxmlformats.org/officeDocument/2006/relationships/worksheet" Target="/xl/worksheets/sheet1.xml" Id="R88232e790bec44bd" /><Relationship Type="http://schemas.openxmlformats.org/officeDocument/2006/relationships/worksheet" Target="/xl/worksheets/sheet2.xml" Id="Rd2f5a7dc3f7d4248" /><Relationship Type="http://schemas.openxmlformats.org/officeDocument/2006/relationships/worksheet" Target="/xl/worksheets/sheet3.xml" Id="Ra062f5a85d5740cb" /><Relationship Type="http://schemas.openxmlformats.org/officeDocument/2006/relationships/worksheet" Target="/xl/worksheets/sheet4.xml" Id="R525617eac1994ff6" /><Relationship Type="http://schemas.microsoft.com/office/2017/10/relationships/person" Target="/xl/persons/person.xml" Id="R3bb78ce459c04369" /></Relationships>
</file>

<file path=xl/persons/person.xml><?xml version="1.0" encoding="utf-8"?>
<xltc:personList xmlns:xltc="http://schemas.microsoft.com/office/spreadsheetml/2018/threadedcomments">
  <xltc:person displayName="D" id="{7E255ED1-998B-4D07-A743-7B27C9AE3E2C}"/>
</xltc:personList>
</file>

<file path=xl/tables/table1.xml><?xml version="1.0" encoding="utf-8"?>
<x:table xmlns:x="http://schemas.openxmlformats.org/spreadsheetml/2006/main" id="1" name="CorrectedRouteTable" displayName="CorrectedRouteTable" ref="A6:U30" headerRowCount="1" totalsRowCount="0" totalsRowShown="0">
  <x:tableColumns count="21">
    <x:tableColumn id="1" name="Leg"/>
    <x:tableColumn id="2" name="Season / period"/>
    <x:tableColumn id="3" name="Segment type"/>
    <x:tableColumn id="4" name="Fuel zone"/>
    <x:tableColumn id="5" name="Planned start"/>
    <x:tableColumn id="6" name="Planned end"/>
    <x:tableColumn id="7" name="From"/>
    <x:tableColumn id="8" name="To"/>
    <x:tableColumn id="9" name="Distance (nm)"/>
    <x:tableColumn id="10" name="Speed (kn)"/>
    <x:tableColumn id="11" name="Hours"/>
    <x:tableColumn id="12" name="Passage days"/>
    <x:tableColumn id="13" name="Stay / anchor days"/>
    <x:tableColumn id="14" name="Provision days"/>
    <x:tableColumn id="15" name="Fuel gallons"/>
    <x:tableColumn id="16" name="Fuel cost"/>
    <x:tableColumn id="17" name="Passage living"/>
    <x:tableColumn id="18" name="Stay living"/>
    <x:tableColumn id="19" name="Entry / permit allowance"/>
    <x:tableColumn id="20" name="Variable leg cost"/>
    <x:tableColumn id="21" name="Check-in / anchor stop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ditionsTable" displayName="ConditionsTable" ref="A3:H27" headerRowCount="1" totalsRowCount="0" totalsRowShown="0">
  <x:tableColumns count="8">
    <x:tableColumn id="1" name="Leg"/>
    <x:tableColumn id="2" name="Route"/>
    <x:tableColumn id="3" name="Air avg °F"/>
    <x:tableColumn id="4" name="SST avg °F"/>
    <x:tableColumn id="5" name="Temperature notes"/>
    <x:tableColumn id="6" name="Favorable wind / window"/>
    <x:tableColumn id="7" name="Current and tidal notes"/>
    <x:tableColumn id="8" name="Correction / cau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52f3c9fe654a4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b233ad17d17424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16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23" hidden="0" customWidth="1"/>
    <x:col min="8" max="8" width="23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42" hidden="0" customWidth="1"/>
  </x:cols>
  <x:sheetData>
    <x:row r="1" ht="20.399999618530273" hidden="0" customHeight="1">
      <x:c r="A1" s="17" t="str">
        <x:v>CORRECTED ONE-YEAR ATLANTIC &amp; CARIBBEAN PASSAGE PLAN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  <x:c r="O1" s="17"/>
      <x:c r="P1" s="17"/>
      <x:c r="Q1" s="17"/>
      <x:c r="R1" s="17"/>
      <x:c r="S1" s="17"/>
      <x:c r="T1" s="17"/>
      <x:c r="U1" s="17"/>
    </x:row>
    <x:row r="2" ht="15" hidden="0" customHeight="1">
      <x:c r="A2" s="19" t="str">
        <x:v>Seasonal route from Sandy Hook to Bermuda, the Caribbean, Bahamas, Florida, Maine and back to Norfolk — formula-driven at an editable planning speed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</x:row>
    <x:row r="3" ht="15" hidden="0" customHeight="1">
      <x:c r="A3" s="20" t="str">
        <x:v>Total distance</x:v>
      </x:c>
      <x:c r="B3" s="20" t="str">
        <x:v>Total distance</x:v>
      </x:c>
      <x:c r="C3" s="20" t="str">
        <x:v>Passage days</x:v>
      </x:c>
      <x:c r="D3" s="20" t="str">
        <x:v>Passage days</x:v>
      </x:c>
      <x:c r="E3" s="20" t="str">
        <x:v>Stay / anchor days</x:v>
      </x:c>
      <x:c r="F3" s="20" t="str">
        <x:v>Stay / anchor days</x:v>
      </x:c>
      <x:c r="G3" s="20" t="str">
        <x:v>Calendar days</x:v>
      </x:c>
      <x:c r="H3" s="20" t="str">
        <x:v>Calendar days</x:v>
      </x:c>
      <x:c r="I3" s="20" t="str">
        <x:v>Estimated fuel</x:v>
      </x:c>
      <x:c r="J3" s="20" t="str">
        <x:v>Estimated fuel</x:v>
      </x:c>
      <x:c r="K3" s="20" t="str">
        <x:v>Living estimate</x:v>
      </x:c>
      <x:c r="L3" s="20" t="str">
        <x:v>Living estimate</x:v>
      </x:c>
      <x:c r="M3" s="20" t="str">
        <x:v>Entry / permits</x:v>
      </x:c>
      <x:c r="N3" s="20" t="str">
        <x:v>Entry / permits</x:v>
      </x:c>
      <x:c r="O3" s="20" t="str">
        <x:v>Variable trip cost</x:v>
      </x:c>
      <x:c r="P3" s="20" t="str">
        <x:v>Variable trip cost</x:v>
      </x:c>
      <x:c r="Q3" s="20" t="str">
        <x:v>With contingency + reserve</x:v>
      </x:c>
      <x:c r="R3" s="20" t="str">
        <x:v>With contingency + reserve</x:v>
      </x:c>
    </x:row>
    <x:row r="4" ht="15.600000381469727" hidden="0" customHeight="1">
      <x:c r="A4" s="23" t="n">
        <x:f>SUM(I7:I30)</x:f>
        <x:v>5336</x:v>
      </x:c>
      <x:c r="B4" s="23"/>
      <x:c r="C4" s="25" t="n">
        <x:f>SUM(L7:L30)</x:f>
        <x:v>46.31944444444446</x:v>
      </x:c>
      <x:c r="D4" s="25"/>
      <x:c r="E4" s="25" t="n">
        <x:f>SUM(M7:M30)</x:f>
        <x:v>334.68055555555554</x:v>
      </x:c>
      <x:c r="F4" s="25"/>
      <x:c r="G4" s="27" t="n">
        <x:f>F30-E7</x:f>
        <x:v>381</x:v>
      </x:c>
      <x:c r="H4" s="27"/>
      <x:c r="I4" s="29" t="n">
        <x:f>SUM(P7:P30)</x:f>
        <x:v>1521.040625</x:v>
      </x:c>
      <x:c r="J4" s="29"/>
      <x:c r="K4" s="29" t="n">
        <x:f>SUM(Q7:R30)</x:f>
        <x:v>12871.805555555553</x:v>
      </x:c>
      <x:c r="L4" s="29"/>
      <x:c r="M4" s="29" t="n">
        <x:f>SUM(S7:S30)</x:f>
        <x:v>1095</x:v>
      </x:c>
      <x:c r="N4" s="29"/>
      <x:c r="O4" s="29" t="n">
        <x:f>SUM(T7:T30)</x:f>
        <x:v>15487.846180555556</x:v>
      </x:c>
      <x:c r="P4" s="29"/>
      <x:c r="Q4" s="29" t="n">
        <x:f>'Budget'!B12</x:f>
        <x:v>27811.023107638888</x:v>
      </x:c>
      <x:c r="R4" s="29"/>
    </x:row>
    <x:row r="5"/>
    <x:row r="6" ht="39.599998474121094" hidden="0" customHeight="1">
      <x:c r="A6" s="32" t="str">
        <x:v>Leg</x:v>
      </x:c>
      <x:c r="B6" s="32" t="str">
        <x:v>Season / period</x:v>
      </x:c>
      <x:c r="C6" s="32" t="str">
        <x:v>Segment type</x:v>
      </x:c>
      <x:c r="D6" s="32" t="str">
        <x:v>Fuel zone</x:v>
      </x:c>
      <x:c r="E6" s="32" t="str">
        <x:v>Planned start</x:v>
      </x:c>
      <x:c r="F6" s="32" t="str">
        <x:v>Planned end</x:v>
      </x:c>
      <x:c r="G6" s="32" t="str">
        <x:v>From</x:v>
      </x:c>
      <x:c r="H6" s="32" t="str">
        <x:v>To</x:v>
      </x:c>
      <x:c r="I6" s="32" t="str">
        <x:v>Distance (nm)</x:v>
      </x:c>
      <x:c r="J6" s="32" t="str">
        <x:v>Speed (kn)</x:v>
      </x:c>
      <x:c r="K6" s="32" t="str">
        <x:v>Hours</x:v>
      </x:c>
      <x:c r="L6" s="32" t="str">
        <x:v>Passage days</x:v>
      </x:c>
      <x:c r="M6" s="32" t="str">
        <x:v>Stay / anchor days</x:v>
      </x:c>
      <x:c r="N6" s="32" t="str">
        <x:v>Provision days</x:v>
      </x:c>
      <x:c r="O6" s="32" t="str">
        <x:v>Fuel gallons</x:v>
      </x:c>
      <x:c r="P6" s="32" t="str">
        <x:v>Fuel cost</x:v>
      </x:c>
      <x:c r="Q6" s="32" t="str">
        <x:v>Passage living</x:v>
      </x:c>
      <x:c r="R6" s="32" t="str">
        <x:v>Stay living</x:v>
      </x:c>
      <x:c r="S6" s="32" t="str">
        <x:v>Entry / permit allowance</x:v>
      </x:c>
      <x:c r="T6" s="32" t="str">
        <x:v>Variable leg cost</x:v>
      </x:c>
      <x:c r="U6" s="32" t="str">
        <x:v>Check-in / anchor stop</x:v>
      </x:c>
    </x:row>
    <x:row r="7" ht="60" hidden="0" customHeight="1">
      <x:c r="A7" s="34" t="n">
        <x:v>1</x:v>
      </x:c>
      <x:c r="B7" s="34" t="str">
        <x:v>Late Oct–early Nov</x:v>
      </x:c>
      <x:c r="C7" s="34" t="str">
        <x:v>Coastal</x:v>
      </x:c>
      <x:c r="D7" s="34" t="str">
        <x:v>US</x:v>
      </x:c>
      <x:c r="E7" s="38" t="n">
        <x:v>46315</x:v>
      </x:c>
      <x:c r="F7" s="38" t="n">
        <x:v>46331</x:v>
      </x:c>
      <x:c r="G7" s="45" t="str">
        <x:v>Sandy Hook, NJ</x:v>
      </x:c>
      <x:c r="H7" s="45" t="str">
        <x:v>Norfolk / Hampton, VA</x:v>
      </x:c>
      <x:c r="I7" s="40" t="n">
        <x:v>240</x:v>
      </x:c>
      <x:c r="J7" s="42" t="n">
        <x:f>'Assumptions &amp; Sources'!$B$4</x:f>
        <x:v>4.8</x:v>
      </x:c>
      <x:c r="K7" s="42" t="n">
        <x:f>I7/J7</x:f>
        <x:v>50</x:v>
      </x:c>
      <x:c r="L7" s="42" t="n">
        <x:f>K7/24</x:f>
        <x:v>2.0833333333333335</x:v>
      </x:c>
      <x:c r="M7" s="42" t="n">
        <x:f>MAX(0,F7-E7-L7)</x:f>
        <x:v>13.916666666666666</x:v>
      </x:c>
      <x:c r="N7" s="42" t="n">
        <x:f>ROUNDUP(L7*(1+'Assumptions &amp; Sources'!$B$13),0)</x:f>
        <x:v>4</x:v>
      </x:c>
      <x:c r="O7" s="42" t="n">
        <x:f>K7*IF(C7="Offshore",'Assumptions &amp; Sources'!$B$5,IF(OR(C7="Coastal",C7="Coastal cruising"),'Assumptions &amp; Sources'!$B$6,'Assumptions &amp; Sources'!$B$7))*'Assumptions &amp; Sources'!$B$8</x:f>
        <x:v>16.25</x:v>
      </x:c>
      <x:c r="P7" s="43" t="n">
        <x:f>O7*IF(D7="US",'Assumptions &amp; Sources'!$B$9,'Assumptions &amp; Sources'!$B$10)</x:f>
        <x:v>73.125</x:v>
      </x:c>
      <x:c r="Q7" s="43" t="n">
        <x:f>L7*'Assumptions &amp; Sources'!$B$11*'Assumptions &amp; Sources'!$B$16</x:f>
        <x:v>52.083333333333336</x:v>
      </x:c>
      <x:c r="R7" s="43" t="n">
        <x:f>M7*'Assumptions &amp; Sources'!$B$12*'Assumptions &amp; Sources'!$B$16</x:f>
        <x:v>487.0833333333333</x:v>
      </x:c>
      <x:c r="S7" s="41" t="n">
        <x:v>0</x:v>
      </x:c>
      <x:c r="T7" s="44" t="n">
        <x:f>SUM(P7:S7)</x:f>
        <x:v>612.2916666666666</x:v>
      </x:c>
      <x:c r="U7" s="46" t="str">
        <x:v>Hampton Roads staging anchorage or marina</x:v>
      </x:c>
    </x:row>
    <x:row r="8" ht="96" hidden="0" customHeight="1">
      <x:c r="A8" s="34" t="n">
        <x:v>2</x:v>
      </x:c>
      <x:c r="B8" s="34" t="str">
        <x:v>November</x:v>
      </x:c>
      <x:c r="C8" s="34" t="str">
        <x:v>Offshore</x:v>
      </x:c>
      <x:c r="D8" s="34" t="str">
        <x:v>US</x:v>
      </x:c>
      <x:c r="E8" s="38" t="n">
        <x:v>46331</x:v>
      </x:c>
      <x:c r="F8" s="38" t="n">
        <x:v>46361</x:v>
      </x:c>
      <x:c r="G8" s="45" t="str">
        <x:v>Norfolk / Hampton, VA</x:v>
      </x:c>
      <x:c r="H8" s="45" t="str">
        <x:v>St. George's, Bermuda</x:v>
      </x:c>
      <x:c r="I8" s="40" t="n">
        <x:v>640</x:v>
      </x:c>
      <x:c r="J8" s="42" t="n">
        <x:f>'Assumptions &amp; Sources'!$B$4</x:f>
        <x:v>4.8</x:v>
      </x:c>
      <x:c r="K8" s="42" t="n">
        <x:f>I8/J8</x:f>
        <x:v>133.33333333333334</x:v>
      </x:c>
      <x:c r="L8" s="42" t="n">
        <x:f>K8/24</x:f>
        <x:v>5.555555555555556</x:v>
      </x:c>
      <x:c r="M8" s="42" t="n">
        <x:f>MAX(0,F8-E8-L8)</x:f>
        <x:v>24.444444444444443</x:v>
      </x:c>
      <x:c r="N8" s="42" t="n">
        <x:f>ROUNDUP(L8*(1+'Assumptions &amp; Sources'!$B$13),0)</x:f>
        <x:v>9</x:v>
      </x:c>
      <x:c r="O8" s="42" t="n">
        <x:f>K8*IF(C8="Offshore",'Assumptions &amp; Sources'!$B$5,IF(OR(C8="Coastal",C8="Coastal cruising"),'Assumptions &amp; Sources'!$B$6,'Assumptions &amp; Sources'!$B$7))*'Assumptions &amp; Sources'!$B$8</x:f>
        <x:v>30.333333333333332</x:v>
      </x:c>
      <x:c r="P8" s="43" t="n">
        <x:f>O8*IF(D8="US",'Assumptions &amp; Sources'!$B$9,'Assumptions &amp; Sources'!$B$10)</x:f>
        <x:v>136.5</x:v>
      </x:c>
      <x:c r="Q8" s="43" t="n">
        <x:f>L8*'Assumptions &amp; Sources'!$B$11*'Assumptions &amp; Sources'!$B$16</x:f>
        <x:v>138.8888888888889</x:v>
      </x:c>
      <x:c r="R8" s="43" t="n">
        <x:f>M8*'Assumptions &amp; Sources'!$B$12*'Assumptions &amp; Sources'!$B$16</x:f>
        <x:v>855.5555555555555</x:v>
      </x:c>
      <x:c r="S8" s="41" t="n">
        <x:v>100</x:v>
      </x:c>
      <x:c r="T8" s="44" t="n">
        <x:f>SUM(P8:S8)</x:f>
        <x:v>1230.9444444444443</x:v>
      </x:c>
      <x:c r="U8" s="46" t="str">
        <x:v>Ordnance Island Yacht Reporting Centre, then Powder Hole</x:v>
      </x:c>
    </x:row>
    <x:row r="9" ht="84" hidden="0" customHeight="1">
      <x:c r="A9" s="34" t="n">
        <x:v>3</x:v>
      </x:c>
      <x:c r="B9" s="34" t="str">
        <x:v>Late Nov–early Dec</x:v>
      </x:c>
      <x:c r="C9" s="34" t="str">
        <x:v>Offshore</x:v>
      </x:c>
      <x:c r="D9" s="34" t="str">
        <x:v>Island</x:v>
      </x:c>
      <x:c r="E9" s="38" t="n">
        <x:v>46361</x:v>
      </x:c>
      <x:c r="F9" s="38" t="n">
        <x:v>46369</x:v>
      </x:c>
      <x:c r="G9" s="45" t="str">
        <x:v>St. George's, Bermuda</x:v>
      </x:c>
      <x:c r="H9" s="45" t="str">
        <x:v>Simpson Bay, Sint Maarten</x:v>
      </x:c>
      <x:c r="I9" s="40" t="n">
        <x:v>863</x:v>
      </x:c>
      <x:c r="J9" s="42" t="n">
        <x:f>'Assumptions &amp; Sources'!$B$4</x:f>
        <x:v>4.8</x:v>
      </x:c>
      <x:c r="K9" s="42" t="n">
        <x:f>I9/J9</x:f>
        <x:v>179.79166666666669</x:v>
      </x:c>
      <x:c r="L9" s="42" t="n">
        <x:f>K9/24</x:f>
        <x:v>7.4913194444444455</x:v>
      </x:c>
      <x:c r="M9" s="42" t="n">
        <x:f>MAX(0,F9-E9-L9)</x:f>
        <x:v>0.5086805555555545</x:v>
      </x:c>
      <x:c r="N9" s="42" t="n">
        <x:f>ROUNDUP(L9*(1+'Assumptions &amp; Sources'!$B$13),0)</x:f>
        <x:v>12</x:v>
      </x:c>
      <x:c r="O9" s="42" t="n">
        <x:f>K9*IF(C9="Offshore",'Assumptions &amp; Sources'!$B$5,IF(OR(C9="Coastal",C9="Coastal cruising"),'Assumptions &amp; Sources'!$B$6,'Assumptions &amp; Sources'!$B$7))*'Assumptions &amp; Sources'!$B$8</x:f>
        <x:v>40.90260416666667</x:v>
      </x:c>
      <x:c r="P9" s="43" t="n">
        <x:f>O9*IF(D9="US",'Assumptions &amp; Sources'!$B$9,'Assumptions &amp; Sources'!$B$10)</x:f>
        <x:v>245.41562500000003</x:v>
      </x:c>
      <x:c r="Q9" s="43" t="n">
        <x:f>L9*'Assumptions &amp; Sources'!$B$11*'Assumptions &amp; Sources'!$B$16</x:f>
        <x:v>187.28298611111114</x:v>
      </x:c>
      <x:c r="R9" s="43" t="n">
        <x:f>M9*'Assumptions &amp; Sources'!$B$12*'Assumptions &amp; Sources'!$B$16</x:f>
        <x:v>17.803819444444407</x:v>
      </x:c>
      <x:c r="S9" s="41" t="n">
        <x:v>50</x:v>
      </x:c>
      <x:c r="T9" s="44" t="n">
        <x:f>SUM(P9:S9)</x:f>
        <x:v>500.5024305555556</x:v>
      </x:c>
      <x:c r="U9" s="46" t="str">
        <x:v>Clear on Dutch side at Simpson Bay; do not mix with Marigot clearance</x:v>
      </x:c>
    </x:row>
    <x:row r="10" ht="60" hidden="0" customHeight="1">
      <x:c r="A10" s="34" t="n">
        <x:v>4</x:v>
      </x:c>
      <x:c r="B10" s="34" t="str">
        <x:v>December</x:v>
      </x:c>
      <x:c r="C10" s="34" t="str">
        <x:v>Island cruising</x:v>
      </x:c>
      <x:c r="D10" s="34" t="str">
        <x:v>Island</x:v>
      </x:c>
      <x:c r="E10" s="38" t="n">
        <x:v>46369</x:v>
      </x:c>
      <x:c r="F10" s="38" t="n">
        <x:v>46384</x:v>
      </x:c>
      <x:c r="G10" s="45" t="str">
        <x:v>Sint Maarten</x:v>
      </x:c>
      <x:c r="H10" s="45" t="str">
        <x:v>Anguilla / St. Barts / Statia / St. Kitts</x:v>
      </x:c>
      <x:c r="I10" s="40" t="n">
        <x:v>90</x:v>
      </x:c>
      <x:c r="J10" s="42" t="n">
        <x:f>'Assumptions &amp; Sources'!$B$4</x:f>
        <x:v>4.8</x:v>
      </x:c>
      <x:c r="K10" s="42" t="n">
        <x:f>I10/J10</x:f>
        <x:v>18.75</x:v>
      </x:c>
      <x:c r="L10" s="42" t="n">
        <x:f>K10/24</x:f>
        <x:v>0.78125</x:v>
      </x:c>
      <x:c r="M10" s="42" t="n">
        <x:f>MAX(0,F10-E10-L10)</x:f>
        <x:v>14.21875</x:v>
      </x:c>
      <x:c r="N10" s="42" t="n">
        <x:f>ROUNDUP(L10*(1+'Assumptions &amp; Sources'!$B$13),0)</x:f>
        <x:v>2</x:v>
      </x:c>
      <x:c r="O10" s="42" t="n">
        <x:f>K10*IF(C10="Offshore",'Assumptions &amp; Sources'!$B$5,IF(OR(C10="Coastal",C10="Coastal cruising"),'Assumptions &amp; Sources'!$B$6,'Assumptions &amp; Sources'!$B$7))*'Assumptions &amp; Sources'!$B$8</x:f>
        <x:v>3.046875</x:v>
      </x:c>
      <x:c r="P10" s="43" t="n">
        <x:f>O10*IF(D10="US",'Assumptions &amp; Sources'!$B$9,'Assumptions &amp; Sources'!$B$10)</x:f>
        <x:v>18.28125</x:v>
      </x:c>
      <x:c r="Q10" s="43" t="n">
        <x:f>L10*'Assumptions &amp; Sources'!$B$11*'Assumptions &amp; Sources'!$B$16</x:f>
        <x:v>19.53125</x:v>
      </x:c>
      <x:c r="R10" s="43" t="n">
        <x:f>M10*'Assumptions &amp; Sources'!$B$12*'Assumptions &amp; Sources'!$B$16</x:f>
        <x:v>497.65625</x:v>
      </x:c>
      <x:c r="S10" s="41" t="n">
        <x:v>250</x:v>
      </x:c>
      <x:c r="T10" s="44" t="n">
        <x:f>SUM(P10:S10)</x:f>
        <x:v>785.46875</x:v>
      </x:c>
      <x:c r="U10" s="46" t="str">
        <x:v>Clear in/out at each jurisdiction; anchorages vary</x:v>
      </x:c>
    </x:row>
    <x:row r="11" ht="60" hidden="0" customHeight="1">
      <x:c r="A11" s="34" t="n">
        <x:v>5</x:v>
      </x:c>
      <x:c r="B11" s="34" t="str">
        <x:v>Late December</x:v>
      </x:c>
      <x:c r="C11" s="34" t="str">
        <x:v>Offshore</x:v>
      </x:c>
      <x:c r="D11" s="34" t="str">
        <x:v>Island</x:v>
      </x:c>
      <x:c r="E11" s="38" t="n">
        <x:v>46384</x:v>
      </x:c>
      <x:c r="F11" s="38" t="n">
        <x:v>46387</x:v>
      </x:c>
      <x:c r="G11" s="45" t="str">
        <x:v>St. Kitts</x:v>
      </x:c>
      <x:c r="H11" s="45" t="str">
        <x:v>Virgin Gorda, BVI</x:v>
      </x:c>
      <x:c r="I11" s="40" t="n">
        <x:v>125</x:v>
      </x:c>
      <x:c r="J11" s="42" t="n">
        <x:f>'Assumptions &amp; Sources'!$B$4</x:f>
        <x:v>4.8</x:v>
      </x:c>
      <x:c r="K11" s="42" t="n">
        <x:f>I11/J11</x:f>
        <x:v>26.041666666666668</x:v>
      </x:c>
      <x:c r="L11" s="42" t="n">
        <x:f>K11/24</x:f>
        <x:v>1.0850694444444444</x:v>
      </x:c>
      <x:c r="M11" s="42" t="n">
        <x:f>MAX(0,F11-E11-L11)</x:f>
        <x:v>1.9149305555555556</x:v>
      </x:c>
      <x:c r="N11" s="42" t="n">
        <x:f>ROUNDUP(L11*(1+'Assumptions &amp; Sources'!$B$13),0)</x:f>
        <x:v>2</x:v>
      </x:c>
      <x:c r="O11" s="42" t="n">
        <x:f>K11*IF(C11="Offshore",'Assumptions &amp; Sources'!$B$5,IF(OR(C11="Coastal",C11="Coastal cruising"),'Assumptions &amp; Sources'!$B$6,'Assumptions &amp; Sources'!$B$7))*'Assumptions &amp; Sources'!$B$8</x:f>
        <x:v>5.924479166666667</x:v>
      </x:c>
      <x:c r="P11" s="43" t="n">
        <x:f>O11*IF(D11="US",'Assumptions &amp; Sources'!$B$9,'Assumptions &amp; Sources'!$B$10)</x:f>
        <x:v>35.546875</x:v>
      </x:c>
      <x:c r="Q11" s="43" t="n">
        <x:f>L11*'Assumptions &amp; Sources'!$B$11*'Assumptions &amp; Sources'!$B$16</x:f>
        <x:v>27.12673611111111</x:v>
      </x:c>
      <x:c r="R11" s="43" t="n">
        <x:f>M11*'Assumptions &amp; Sources'!$B$12*'Assumptions &amp; Sources'!$B$16</x:f>
        <x:v>67.02256944444444</x:v>
      </x:c>
      <x:c r="S11" s="41" t="n">
        <x:v>75</x:v>
      </x:c>
      <x:c r="T11" s="44" t="n">
        <x:f>SUM(P11:S11)</x:f>
        <x:v>204.69618055555554</x:v>
      </x:c>
      <x:c r="U11" s="46" t="str">
        <x:v>Gun Creek or Road Town official BVI clearance</x:v>
      </x:c>
    </x:row>
    <x:row r="12" ht="72" hidden="0" customHeight="1">
      <x:c r="A12" s="34" t="n">
        <x:v>6</x:v>
      </x:c>
      <x:c r="B12" s="34" t="str">
        <x:v>January</x:v>
      </x:c>
      <x:c r="C12" s="34" t="str">
        <x:v>Island cruising</x:v>
      </x:c>
      <x:c r="D12" s="34" t="str">
        <x:v>Island</x:v>
      </x:c>
      <x:c r="E12" s="38" t="n">
        <x:v>46387</x:v>
      </x:c>
      <x:c r="F12" s="38" t="n">
        <x:v>46412</x:v>
      </x:c>
      <x:c r="G12" s="45" t="str">
        <x:v>Virgin Gorda / Tortola</x:v>
      </x:c>
      <x:c r="H12" s="45" t="str">
        <x:v>St. John / St. Thomas, USVI</x:v>
      </x:c>
      <x:c r="I12" s="40" t="n">
        <x:v>110</x:v>
      </x:c>
      <x:c r="J12" s="42" t="n">
        <x:f>'Assumptions &amp; Sources'!$B$4</x:f>
        <x:v>4.8</x:v>
      </x:c>
      <x:c r="K12" s="42" t="n">
        <x:f>I12/J12</x:f>
        <x:v>22.916666666666668</x:v>
      </x:c>
      <x:c r="L12" s="42" t="n">
        <x:f>K12/24</x:f>
        <x:v>0.9548611111111112</x:v>
      </x:c>
      <x:c r="M12" s="42" t="n">
        <x:f>MAX(0,F12-E12-L12)</x:f>
        <x:v>24.04513888888889</x:v>
      </x:c>
      <x:c r="N12" s="42" t="n">
        <x:f>ROUNDUP(L12*(1+'Assumptions &amp; Sources'!$B$13),0)</x:f>
        <x:v>2</x:v>
      </x:c>
      <x:c r="O12" s="42" t="n">
        <x:f>K12*IF(C12="Offshore",'Assumptions &amp; Sources'!$B$5,IF(OR(C12="Coastal",C12="Coastal cruising"),'Assumptions &amp; Sources'!$B$6,'Assumptions &amp; Sources'!$B$7))*'Assumptions &amp; Sources'!$B$8</x:f>
        <x:v>3.7239583333333335</x:v>
      </x:c>
      <x:c r="P12" s="43" t="n">
        <x:f>O12*IF(D12="US",'Assumptions &amp; Sources'!$B$9,'Assumptions &amp; Sources'!$B$10)</x:f>
        <x:v>22.34375</x:v>
      </x:c>
      <x:c r="Q12" s="43" t="n">
        <x:f>L12*'Assumptions &amp; Sources'!$B$11*'Assumptions &amp; Sources'!$B$16</x:f>
        <x:v>23.87152777777778</x:v>
      </x:c>
      <x:c r="R12" s="43" t="n">
        <x:f>M12*'Assumptions &amp; Sources'!$B$12*'Assumptions &amp; Sources'!$B$16</x:f>
        <x:v>841.5798611111111</x:v>
      </x:c>
      <x:c r="S12" s="41" t="n">
        <x:v>35</x:v>
      </x:c>
      <x:c r="T12" s="44" t="n">
        <x:f>SUM(P12:S12)</x:f>
        <x:v>922.7951388888889</x:v>
      </x:c>
      <x:c r="U12" s="46" t="str">
        <x:v>Report entry to U.S. CBP before going ashore</x:v>
      </x:c>
    </x:row>
    <x:row r="13" ht="72" hidden="0" customHeight="1">
      <x:c r="A13" s="34" t="n">
        <x:v>7</x:v>
      </x:c>
      <x:c r="B13" s="34" t="str">
        <x:v>Late Jan–Feb</x:v>
      </x:c>
      <x:c r="C13" s="34" t="str">
        <x:v>Island cruising</x:v>
      </x:c>
      <x:c r="D13" s="34" t="str">
        <x:v>US</x:v>
      </x:c>
      <x:c r="E13" s="38" t="n">
        <x:v>46412</x:v>
      </x:c>
      <x:c r="F13" s="38" t="n">
        <x:v>46438</x:v>
      </x:c>
      <x:c r="G13" s="45" t="str">
        <x:v>St. Thomas, USVI</x:v>
      </x:c>
      <x:c r="H13" s="45" t="str">
        <x:v>Culebra / Vieques / Fajardo, PR</x:v>
      </x:c>
      <x:c r="I13" s="40" t="n">
        <x:v>70</x:v>
      </x:c>
      <x:c r="J13" s="42" t="n">
        <x:f>'Assumptions &amp; Sources'!$B$4</x:f>
        <x:v>4.8</x:v>
      </x:c>
      <x:c r="K13" s="42" t="n">
        <x:f>I13/J13</x:f>
        <x:v>14.583333333333334</x:v>
      </x:c>
      <x:c r="L13" s="42" t="n">
        <x:f>K13/24</x:f>
        <x:v>0.607638888888889</x:v>
      </x:c>
      <x:c r="M13" s="42" t="n">
        <x:f>MAX(0,F13-E13-L13)</x:f>
        <x:v>25.39236111111111</x:v>
      </x:c>
      <x:c r="N13" s="42" t="n">
        <x:f>ROUNDUP(L13*(1+'Assumptions &amp; Sources'!$B$13),0)</x:f>
        <x:v>1</x:v>
      </x:c>
      <x:c r="O13" s="42" t="n">
        <x:f>K13*IF(C13="Offshore",'Assumptions &amp; Sources'!$B$5,IF(OR(C13="Coastal",C13="Coastal cruising"),'Assumptions &amp; Sources'!$B$6,'Assumptions &amp; Sources'!$B$7))*'Assumptions &amp; Sources'!$B$8</x:f>
        <x:v>2.369791666666667</x:v>
      </x:c>
      <x:c r="P13" s="43" t="n">
        <x:f>O13*IF(D13="US",'Assumptions &amp; Sources'!$B$9,'Assumptions &amp; Sources'!$B$10)</x:f>
        <x:v>10.664062500000002</x:v>
      </x:c>
      <x:c r="Q13" s="43" t="n">
        <x:f>L13*'Assumptions &amp; Sources'!$B$11*'Assumptions &amp; Sources'!$B$16</x:f>
        <x:v>15.190972222222223</x:v>
      </x:c>
      <x:c r="R13" s="43" t="n">
        <x:f>M13*'Assumptions &amp; Sources'!$B$12*'Assumptions &amp; Sources'!$B$16</x:f>
        <x:v>888.7326388888889</x:v>
      </x:c>
      <x:c r="S13" s="41" t="n">
        <x:v>0</x:v>
      </x:c>
      <x:c r="T13" s="44" t="n">
        <x:f>SUM(P13:S13)</x:f>
        <x:v>914.5876736111111</x:v>
      </x:c>
      <x:c r="U13" s="46" t="str">
        <x:v>Cruz Bay departure; Ensenada Honda / Vieques / Fajardo</x:v>
      </x:c>
    </x:row>
    <x:row r="14" ht="96" hidden="0" customHeight="1">
      <x:c r="A14" s="34" t="n">
        <x:v>8</x:v>
      </x:c>
      <x:c r="B14" s="34" t="str">
        <x:v>February</x:v>
      </x:c>
      <x:c r="C14" s="34" t="str">
        <x:v>Coastal</x:v>
      </x:c>
      <x:c r="D14" s="34" t="str">
        <x:v>US</x:v>
      </x:c>
      <x:c r="E14" s="38" t="n">
        <x:v>46438</x:v>
      </x:c>
      <x:c r="F14" s="38" t="n">
        <x:v>46451</x:v>
      </x:c>
      <x:c r="G14" s="45" t="str">
        <x:v>Fajardo, PR</x:v>
      </x:c>
      <x:c r="H14" s="45" t="str">
        <x:v>Boquerón, PR via south coast</x:v>
      </x:c>
      <x:c r="I14" s="40" t="n">
        <x:v>120</x:v>
      </x:c>
      <x:c r="J14" s="42" t="n">
        <x:f>'Assumptions &amp; Sources'!$B$4</x:f>
        <x:v>4.8</x:v>
      </x:c>
      <x:c r="K14" s="42" t="n">
        <x:f>I14/J14</x:f>
        <x:v>25</x:v>
      </x:c>
      <x:c r="L14" s="42" t="n">
        <x:f>K14/24</x:f>
        <x:v>1.0416666666666667</x:v>
      </x:c>
      <x:c r="M14" s="42" t="n">
        <x:f>MAX(0,F14-E14-L14)</x:f>
        <x:v>11.958333333333334</x:v>
      </x:c>
      <x:c r="N14" s="42" t="n">
        <x:f>ROUNDUP(L14*(1+'Assumptions &amp; Sources'!$B$13),0)</x:f>
        <x:v>2</x:v>
      </x:c>
      <x:c r="O14" s="42" t="n">
        <x:f>K14*IF(C14="Offshore",'Assumptions &amp; Sources'!$B$5,IF(OR(C14="Coastal",C14="Coastal cruising"),'Assumptions &amp; Sources'!$B$6,'Assumptions &amp; Sources'!$B$7))*'Assumptions &amp; Sources'!$B$8</x:f>
        <x:v>8.125</x:v>
      </x:c>
      <x:c r="P14" s="43" t="n">
        <x:f>O14*IF(D14="US",'Assumptions &amp; Sources'!$B$9,'Assumptions &amp; Sources'!$B$10)</x:f>
        <x:v>36.5625</x:v>
      </x:c>
      <x:c r="Q14" s="43" t="n">
        <x:f>L14*'Assumptions &amp; Sources'!$B$11*'Assumptions &amp; Sources'!$B$16</x:f>
        <x:v>26.041666666666668</x:v>
      </x:c>
      <x:c r="R14" s="43" t="n">
        <x:f>M14*'Assumptions &amp; Sources'!$B$12*'Assumptions &amp; Sources'!$B$16</x:f>
        <x:v>418.5416666666667</x:v>
      </x:c>
      <x:c r="S14" s="41" t="n">
        <x:v>0</x:v>
      </x:c>
      <x:c r="T14" s="44" t="n">
        <x:f>SUM(P14:S14)</x:f>
        <x:v>481.14583333333337</x:v>
      </x:c>
      <x:c r="U14" s="46" t="str">
        <x:v>Use Salinas and/or Ponce; avoids exposed nonstop north-coast assumption</x:v>
      </x:c>
    </x:row>
    <x:row r="15" ht="48" hidden="0" customHeight="1">
      <x:c r="A15" s="34" t="n">
        <x:v>9</x:v>
      </x:c>
      <x:c r="B15" s="34" t="str">
        <x:v>Early March</x:v>
      </x:c>
      <x:c r="C15" s="34" t="str">
        <x:v>Offshore</x:v>
      </x:c>
      <x:c r="D15" s="34" t="str">
        <x:v>Island</x:v>
      </x:c>
      <x:c r="E15" s="38" t="n">
        <x:v>46451</x:v>
      </x:c>
      <x:c r="F15" s="38" t="n">
        <x:v>46458</x:v>
      </x:c>
      <x:c r="G15" s="45" t="str">
        <x:v>Boquerón, PR</x:v>
      </x:c>
      <x:c r="H15" s="45" t="str">
        <x:v>Samaná, Dominican Republic</x:v>
      </x:c>
      <x:c r="I15" s="40" t="n">
        <x:v>140</x:v>
      </x:c>
      <x:c r="J15" s="42" t="n">
        <x:f>'Assumptions &amp; Sources'!$B$4</x:f>
        <x:v>4.8</x:v>
      </x:c>
      <x:c r="K15" s="42" t="n">
        <x:f>I15/J15</x:f>
        <x:v>29.166666666666668</x:v>
      </x:c>
      <x:c r="L15" s="42" t="n">
        <x:f>K15/24</x:f>
        <x:v>1.215277777777778</x:v>
      </x:c>
      <x:c r="M15" s="42" t="n">
        <x:f>MAX(0,F15-E15-L15)</x:f>
        <x:v>5.784722222222222</x:v>
      </x:c>
      <x:c r="N15" s="42" t="n">
        <x:f>ROUNDUP(L15*(1+'Assumptions &amp; Sources'!$B$13),0)</x:f>
        <x:v>2</x:v>
      </x:c>
      <x:c r="O15" s="42" t="n">
        <x:f>K15*IF(C15="Offshore",'Assumptions &amp; Sources'!$B$5,IF(OR(C15="Coastal",C15="Coastal cruising"),'Assumptions &amp; Sources'!$B$6,'Assumptions &amp; Sources'!$B$7))*'Assumptions &amp; Sources'!$B$8</x:f>
        <x:v>6.635416666666667</x:v>
      </x:c>
      <x:c r="P15" s="43" t="n">
        <x:f>O15*IF(D15="US",'Assumptions &amp; Sources'!$B$9,'Assumptions &amp; Sources'!$B$10)</x:f>
        <x:v>39.8125</x:v>
      </x:c>
      <x:c r="Q15" s="43" t="n">
        <x:f>L15*'Assumptions &amp; Sources'!$B$11*'Assumptions &amp; Sources'!$B$16</x:f>
        <x:v>30.381944444444446</x:v>
      </x:c>
      <x:c r="R15" s="43" t="n">
        <x:f>M15*'Assumptions &amp; Sources'!$B$12*'Assumptions &amp; Sources'!$B$16</x:f>
        <x:v>202.46527777777777</x:v>
      </x:c>
      <x:c r="S15" s="41" t="n">
        <x:v>100</x:v>
      </x:c>
      <x:c r="T15" s="44" t="n">
        <x:f>SUM(P15:S15)</x:f>
        <x:v>372.65972222222223</x:v>
      </x:c>
      <x:c r="U15" s="46" t="str">
        <x:v>Samaná official entry and despacho</x:v>
      </x:c>
    </x:row>
    <x:row r="16" ht="84" hidden="0" customHeight="1">
      <x:c r="A16" s="34" t="n">
        <x:v>10</x:v>
      </x:c>
      <x:c r="B16" s="34" t="str">
        <x:v>March</x:v>
      </x:c>
      <x:c r="C16" s="34" t="str">
        <x:v>Coastal</x:v>
      </x:c>
      <x:c r="D16" s="34" t="str">
        <x:v>Island</x:v>
      </x:c>
      <x:c r="E16" s="38" t="n">
        <x:v>46458</x:v>
      </x:c>
      <x:c r="F16" s="38" t="n">
        <x:v>46471</x:v>
      </x:c>
      <x:c r="G16" s="45" t="str">
        <x:v>Samaná, DR</x:v>
      </x:c>
      <x:c r="H16" s="45" t="str">
        <x:v>Luperón, DR</x:v>
      </x:c>
      <x:c r="I16" s="40" t="n">
        <x:v>110</x:v>
      </x:c>
      <x:c r="J16" s="42" t="n">
        <x:f>'Assumptions &amp; Sources'!$B$4</x:f>
        <x:v>4.8</x:v>
      </x:c>
      <x:c r="K16" s="42" t="n">
        <x:f>I16/J16</x:f>
        <x:v>22.916666666666668</x:v>
      </x:c>
      <x:c r="L16" s="42" t="n">
        <x:f>K16/24</x:f>
        <x:v>0.9548611111111112</x:v>
      </x:c>
      <x:c r="M16" s="42" t="n">
        <x:f>MAX(0,F16-E16-L16)</x:f>
        <x:v>12.04513888888889</x:v>
      </x:c>
      <x:c r="N16" s="42" t="n">
        <x:f>ROUNDUP(L16*(1+'Assumptions &amp; Sources'!$B$13),0)</x:f>
        <x:v>2</x:v>
      </x:c>
      <x:c r="O16" s="42" t="n">
        <x:f>K16*IF(C16="Offshore",'Assumptions &amp; Sources'!$B$5,IF(OR(C16="Coastal",C16="Coastal cruising"),'Assumptions &amp; Sources'!$B$6,'Assumptions &amp; Sources'!$B$7))*'Assumptions &amp; Sources'!$B$8</x:f>
        <x:v>7.447916666666667</x:v>
      </x:c>
      <x:c r="P16" s="43" t="n">
        <x:f>O16*IF(D16="US",'Assumptions &amp; Sources'!$B$9,'Assumptions &amp; Sources'!$B$10)</x:f>
        <x:v>44.6875</x:v>
      </x:c>
      <x:c r="Q16" s="43" t="n">
        <x:f>L16*'Assumptions &amp; Sources'!$B$11*'Assumptions &amp; Sources'!$B$16</x:f>
        <x:v>23.87152777777778</x:v>
      </x:c>
      <x:c r="R16" s="43" t="n">
        <x:f>M16*'Assumptions &amp; Sources'!$B$12*'Assumptions &amp; Sources'!$B$16</x:f>
        <x:v>421.57986111111114</x:v>
      </x:c>
      <x:c r="S16" s="41" t="n">
        <x:v>0</x:v>
      </x:c>
      <x:c r="T16" s="44" t="n">
        <x:f>SUM(P16:S16)</x:f>
        <x:v>490.1388888888889</x:v>
      </x:c>
      <x:c r="U16" s="46" t="str">
        <x:v>Obtain domestic despacho as required; Puerto Plata optional</x:v>
      </x:c>
    </x:row>
    <x:row r="17" ht="36" hidden="0" customHeight="1">
      <x:c r="A17" s="34" t="n">
        <x:v>11</x:v>
      </x:c>
      <x:c r="B17" s="34" t="str">
        <x:v>Late March</x:v>
      </x:c>
      <x:c r="C17" s="34" t="str">
        <x:v>Offshore</x:v>
      </x:c>
      <x:c r="D17" s="34" t="str">
        <x:v>Island</x:v>
      </x:c>
      <x:c r="E17" s="38" t="n">
        <x:v>46471</x:v>
      </x:c>
      <x:c r="F17" s="38" t="n">
        <x:v>46473</x:v>
      </x:c>
      <x:c r="G17" s="45" t="str">
        <x:v>Luperón, DR</x:v>
      </x:c>
      <x:c r="H17" s="45" t="str">
        <x:v>Providenciales, Turks &amp; Caicos</x:v>
      </x:c>
      <x:c r="I17" s="40" t="n">
        <x:v>135</x:v>
      </x:c>
      <x:c r="J17" s="42" t="n">
        <x:f>'Assumptions &amp; Sources'!$B$4</x:f>
        <x:v>4.8</x:v>
      </x:c>
      <x:c r="K17" s="42" t="n">
        <x:f>I17/J17</x:f>
        <x:v>28.125</x:v>
      </x:c>
      <x:c r="L17" s="42" t="n">
        <x:f>K17/24</x:f>
        <x:v>1.171875</x:v>
      </x:c>
      <x:c r="M17" s="42" t="n">
        <x:f>MAX(0,F17-E17-L17)</x:f>
        <x:v>0.828125</x:v>
      </x:c>
      <x:c r="N17" s="42" t="n">
        <x:f>ROUNDUP(L17*(1+'Assumptions &amp; Sources'!$B$13),0)</x:f>
        <x:v>2</x:v>
      </x:c>
      <x:c r="O17" s="42" t="n">
        <x:f>K17*IF(C17="Offshore",'Assumptions &amp; Sources'!$B$5,IF(OR(C17="Coastal",C17="Coastal cruising"),'Assumptions &amp; Sources'!$B$6,'Assumptions &amp; Sources'!$B$7))*'Assumptions &amp; Sources'!$B$8</x:f>
        <x:v>6.3984375</x:v>
      </x:c>
      <x:c r="P17" s="43" t="n">
        <x:f>O17*IF(D17="US",'Assumptions &amp; Sources'!$B$9,'Assumptions &amp; Sources'!$B$10)</x:f>
        <x:v>38.390625</x:v>
      </x:c>
      <x:c r="Q17" s="43" t="n">
        <x:f>L17*'Assumptions &amp; Sources'!$B$11*'Assumptions &amp; Sources'!$B$16</x:f>
        <x:v>29.296875</x:v>
      </x:c>
      <x:c r="R17" s="43" t="n">
        <x:f>M17*'Assumptions &amp; Sources'!$B$12*'Assumptions &amp; Sources'!$B$16</x:f>
        <x:v>28.984375</x:v>
      </x:c>
      <x:c r="S17" s="41" t="n">
        <x:v>100</x:v>
      </x:c>
      <x:c r="T17" s="44" t="n">
        <x:f>SUM(P17:S17)</x:f>
        <x:v>196.671875</x:v>
      </x:c>
      <x:c r="U17" s="46" t="str">
        <x:v>Providenciales official entry</x:v>
      </x:c>
    </x:row>
    <x:row r="18" ht="96" hidden="0" customHeight="1">
      <x:c r="A18" s="34" t="n">
        <x:v>12</x:v>
      </x:c>
      <x:c r="B18" s="34" t="str">
        <x:v>Late March</x:v>
      </x:c>
      <x:c r="C18" s="34" t="str">
        <x:v>Offshore</x:v>
      </x:c>
      <x:c r="D18" s="34" t="str">
        <x:v>Island</x:v>
      </x:c>
      <x:c r="E18" s="38" t="n">
        <x:v>46473</x:v>
      </x:c>
      <x:c r="F18" s="38" t="n">
        <x:v>46475</x:v>
      </x:c>
      <x:c r="G18" s="45" t="str">
        <x:v>Providenciales, TCI</x:v>
      </x:c>
      <x:c r="H18" s="45" t="str">
        <x:v>Mayaguana, Bahamas</x:v>
      </x:c>
      <x:c r="I18" s="40" t="n">
        <x:v>65</x:v>
      </x:c>
      <x:c r="J18" s="42" t="n">
        <x:f>'Assumptions &amp; Sources'!$B$4</x:f>
        <x:v>4.8</x:v>
      </x:c>
      <x:c r="K18" s="42" t="n">
        <x:f>I18/J18</x:f>
        <x:v>13.541666666666668</x:v>
      </x:c>
      <x:c r="L18" s="42" t="n">
        <x:f>K18/24</x:f>
        <x:v>0.5642361111111112</x:v>
      </x:c>
      <x:c r="M18" s="42" t="n">
        <x:f>MAX(0,F18-E18-L18)</x:f>
        <x:v>1.4357638888888888</x:v>
      </x:c>
      <x:c r="N18" s="42" t="n">
        <x:f>ROUNDUP(L18*(1+'Assumptions &amp; Sources'!$B$13),0)</x:f>
        <x:v>1</x:v>
      </x:c>
      <x:c r="O18" s="42" t="n">
        <x:f>K18*IF(C18="Offshore",'Assumptions &amp; Sources'!$B$5,IF(OR(C18="Coastal",C18="Coastal cruising"),'Assumptions &amp; Sources'!$B$6,'Assumptions &amp; Sources'!$B$7))*'Assumptions &amp; Sources'!$B$8</x:f>
        <x:v>3.0807291666666665</x:v>
      </x:c>
      <x:c r="P18" s="43" t="n">
        <x:f>O18*IF(D18="US",'Assumptions &amp; Sources'!$B$9,'Assumptions &amp; Sources'!$B$10)</x:f>
        <x:v>18.484375</x:v>
      </x:c>
      <x:c r="Q18" s="43" t="n">
        <x:f>L18*'Assumptions &amp; Sources'!$B$11*'Assumptions &amp; Sources'!$B$16</x:f>
        <x:v>14.105902777777779</x:v>
      </x:c>
      <x:c r="R18" s="43" t="n">
        <x:f>M18*'Assumptions &amp; Sources'!$B$12*'Assumptions &amp; Sources'!$B$16</x:f>
        <x:v>50.25173611111111</x:v>
      </x:c>
      <x:c r="S18" s="41" t="n">
        <x:v>350</x:v>
      </x:c>
      <x:c r="T18" s="44" t="n">
        <x:f>SUM(P18:S18)</x:f>
        <x:v>432.8420138888889</x:v>
      </x:c>
      <x:c r="U18" s="46" t="str">
        <x:v>Abraham's Bay official Bahamas entry; 30-day permit + anchorage allowance</x:v>
      </x:c>
    </x:row>
    <x:row r="19" ht="60" hidden="0" customHeight="1">
      <x:c r="A19" s="34" t="n">
        <x:v>13</x:v>
      </x:c>
      <x:c r="B19" s="34" t="str">
        <x:v>Late Mar–April</x:v>
      </x:c>
      <x:c r="C19" s="34" t="str">
        <x:v>Island cruising</x:v>
      </x:c>
      <x:c r="D19" s="34" t="str">
        <x:v>Island</x:v>
      </x:c>
      <x:c r="E19" s="38" t="n">
        <x:v>46475</x:v>
      </x:c>
      <x:c r="F19" s="38" t="n">
        <x:v>46495</x:v>
      </x:c>
      <x:c r="G19" s="45" t="str">
        <x:v>Mayaguana</x:v>
      </x:c>
      <x:c r="H19" s="45" t="str">
        <x:v>Georgetown, Exuma</x:v>
      </x:c>
      <x:c r="I19" s="40" t="n">
        <x:v>190</x:v>
      </x:c>
      <x:c r="J19" s="42" t="n">
        <x:f>'Assumptions &amp; Sources'!$B$4</x:f>
        <x:v>4.8</x:v>
      </x:c>
      <x:c r="K19" s="42" t="n">
        <x:f>I19/J19</x:f>
        <x:v>39.583333333333336</x:v>
      </x:c>
      <x:c r="L19" s="42" t="n">
        <x:f>K19/24</x:f>
        <x:v>1.6493055555555556</x:v>
      </x:c>
      <x:c r="M19" s="42" t="n">
        <x:f>MAX(0,F19-E19-L19)</x:f>
        <x:v>18.350694444444443</x:v>
      </x:c>
      <x:c r="N19" s="42" t="n">
        <x:f>ROUNDUP(L19*(1+'Assumptions &amp; Sources'!$B$13),0)</x:f>
        <x:v>3</x:v>
      </x:c>
      <x:c r="O19" s="42" t="n">
        <x:f>K19*IF(C19="Offshore",'Assumptions &amp; Sources'!$B$5,IF(OR(C19="Coastal",C19="Coastal cruising"),'Assumptions &amp; Sources'!$B$6,'Assumptions &amp; Sources'!$B$7))*'Assumptions &amp; Sources'!$B$8</x:f>
        <x:v>6.432291666666667</x:v>
      </x:c>
      <x:c r="P19" s="43" t="n">
        <x:f>O19*IF(D19="US",'Assumptions &amp; Sources'!$B$9,'Assumptions &amp; Sources'!$B$10)</x:f>
        <x:v>38.59375</x:v>
      </x:c>
      <x:c r="Q19" s="43" t="n">
        <x:f>L19*'Assumptions &amp; Sources'!$B$11*'Assumptions &amp; Sources'!$B$16</x:f>
        <x:v>41.23263888888889</x:v>
      </x:c>
      <x:c r="R19" s="43" t="n">
        <x:f>M19*'Assumptions &amp; Sources'!$B$12*'Assumptions &amp; Sources'!$B$16</x:f>
        <x:v>642.2743055555555</x:v>
      </x:c>
      <x:c r="S19" s="41" t="n">
        <x:v>0</x:v>
      </x:c>
      <x:c r="T19" s="44" t="n">
        <x:f>SUM(P19:S19)</x:f>
        <x:v>722.1006944444445</x:v>
      </x:c>
      <x:c r="U19" s="46" t="str">
        <x:v>Crooked/Acklins, Long Island, then Georgetown</x:v>
      </x:c>
    </x:row>
    <x:row r="20" ht="72" hidden="0" customHeight="1">
      <x:c r="A20" s="34" t="n">
        <x:v>14</x:v>
      </x:c>
      <x:c r="B20" s="34" t="str">
        <x:v>April</x:v>
      </x:c>
      <x:c r="C20" s="34" t="str">
        <x:v>Coastal</x:v>
      </x:c>
      <x:c r="D20" s="34" t="str">
        <x:v>Island</x:v>
      </x:c>
      <x:c r="E20" s="38" t="n">
        <x:v>46495</x:v>
      </x:c>
      <x:c r="F20" s="38" t="n">
        <x:v>46502</x:v>
      </x:c>
      <x:c r="G20" s="45" t="str">
        <x:v>Georgetown, Exuma</x:v>
      </x:c>
      <x:c r="H20" s="45" t="str">
        <x:v>Bimini</x:v>
      </x:c>
      <x:c r="I20" s="40" t="n">
        <x:v>240</x:v>
      </x:c>
      <x:c r="J20" s="42" t="n">
        <x:f>'Assumptions &amp; Sources'!$B$4</x:f>
        <x:v>4.8</x:v>
      </x:c>
      <x:c r="K20" s="42" t="n">
        <x:f>I20/J20</x:f>
        <x:v>50</x:v>
      </x:c>
      <x:c r="L20" s="42" t="n">
        <x:f>K20/24</x:f>
        <x:v>2.0833333333333335</x:v>
      </x:c>
      <x:c r="M20" s="42" t="n">
        <x:f>MAX(0,F20-E20-L20)</x:f>
        <x:v>4.916666666666666</x:v>
      </x:c>
      <x:c r="N20" s="42" t="n">
        <x:f>ROUNDUP(L20*(1+'Assumptions &amp; Sources'!$B$13),0)</x:f>
        <x:v>4</x:v>
      </x:c>
      <x:c r="O20" s="42" t="n">
        <x:f>K20*IF(C20="Offshore",'Assumptions &amp; Sources'!$B$5,IF(OR(C20="Coastal",C20="Coastal cruising"),'Assumptions &amp; Sources'!$B$6,'Assumptions &amp; Sources'!$B$7))*'Assumptions &amp; Sources'!$B$8</x:f>
        <x:v>16.25</x:v>
      </x:c>
      <x:c r="P20" s="43" t="n">
        <x:f>O20*IF(D20="US",'Assumptions &amp; Sources'!$B$9,'Assumptions &amp; Sources'!$B$10)</x:f>
        <x:v>97.5</x:v>
      </x:c>
      <x:c r="Q20" s="43" t="n">
        <x:f>L20*'Assumptions &amp; Sources'!$B$11*'Assumptions &amp; Sources'!$B$16</x:f>
        <x:v>52.083333333333336</x:v>
      </x:c>
      <x:c r="R20" s="43" t="n">
        <x:f>M20*'Assumptions &amp; Sources'!$B$12*'Assumptions &amp; Sources'!$B$16</x:f>
        <x:v>172.08333333333331</x:v>
      </x:c>
      <x:c r="S20" s="41" t="n">
        <x:v>0</x:v>
      </x:c>
      <x:c r="T20" s="44" t="n">
        <x:f>SUM(P20:S20)</x:f>
        <x:v>321.66666666666663</x:v>
      </x:c>
      <x:c r="U20" s="46" t="str">
        <x:v>Nassau optional; use daylight for banks and coral heads</x:v>
      </x:c>
    </x:row>
    <x:row r="21" ht="84" hidden="0" customHeight="1">
      <x:c r="A21" s="34" t="n">
        <x:v>15</x:v>
      </x:c>
      <x:c r="B21" s="34" t="str">
        <x:v>Late Apr–early May</x:v>
      </x:c>
      <x:c r="C21" s="34" t="str">
        <x:v>Offshore</x:v>
      </x:c>
      <x:c r="D21" s="34" t="str">
        <x:v>US</x:v>
      </x:c>
      <x:c r="E21" s="38" t="n">
        <x:v>46502</x:v>
      </x:c>
      <x:c r="F21" s="38" t="n">
        <x:v>46511</x:v>
      </x:c>
      <x:c r="G21" s="45" t="str">
        <x:v>Bimini</x:v>
      </x:c>
      <x:c r="H21" s="45" t="str">
        <x:v>Fort Lauderdale, FL</x:v>
      </x:c>
      <x:c r="I21" s="40" t="n">
        <x:v>50</x:v>
      </x:c>
      <x:c r="J21" s="42" t="n">
        <x:f>'Assumptions &amp; Sources'!$B$4</x:f>
        <x:v>4.8</x:v>
      </x:c>
      <x:c r="K21" s="42" t="n">
        <x:f>I21/J21</x:f>
        <x:v>10.416666666666668</x:v>
      </x:c>
      <x:c r="L21" s="42" t="n">
        <x:f>K21/24</x:f>
        <x:v>0.43402777777777785</x:v>
      </x:c>
      <x:c r="M21" s="42" t="n">
        <x:f>MAX(0,F21-E21-L21)</x:f>
        <x:v>8.565972222222221</x:v>
      </x:c>
      <x:c r="N21" s="42" t="n">
        <x:f>ROUNDUP(L21*(1+'Assumptions &amp; Sources'!$B$13),0)</x:f>
        <x:v>1</x:v>
      </x:c>
      <x:c r="O21" s="42" t="n">
        <x:f>K21*IF(C21="Offshore",'Assumptions &amp; Sources'!$B$5,IF(OR(C21="Coastal",C21="Coastal cruising"),'Assumptions &amp; Sources'!$B$6,'Assumptions &amp; Sources'!$B$7))*'Assumptions &amp; Sources'!$B$8</x:f>
        <x:v>2.369791666666667</x:v>
      </x:c>
      <x:c r="P21" s="43" t="n">
        <x:f>O21*IF(D21="US",'Assumptions &amp; Sources'!$B$9,'Assumptions &amp; Sources'!$B$10)</x:f>
        <x:v>10.664062500000002</x:v>
      </x:c>
      <x:c r="Q21" s="43" t="n">
        <x:f>L21*'Assumptions &amp; Sources'!$B$11*'Assumptions &amp; Sources'!$B$16</x:f>
        <x:v>10.850694444444446</x:v>
      </x:c>
      <x:c r="R21" s="43" t="n">
        <x:f>M21*'Assumptions &amp; Sources'!$B$12*'Assumptions &amp; Sources'!$B$16</x:f>
        <x:v>299.80902777777777</x:v>
      </x:c>
      <x:c r="S21" s="41" t="n">
        <x:v>35</x:v>
      </x:c>
      <x:c r="T21" s="44" t="n">
        <x:f>SUM(P21:S21)</x:f>
        <x:v>356.32378472222223</x:v>
      </x:c>
      <x:c r="U21" s="46" t="str">
        <x:v>Report arrival to CBP immediately; ROAM may be available</x:v>
      </x:c>
    </x:row>
    <x:row r="22" ht="60" hidden="0" customHeight="1">
      <x:c r="A22" s="34" t="n">
        <x:v>16</x:v>
      </x:c>
      <x:c r="B22" s="34" t="str">
        <x:v>May</x:v>
      </x:c>
      <x:c r="C22" s="34" t="str">
        <x:v>Coastal</x:v>
      </x:c>
      <x:c r="D22" s="34" t="str">
        <x:v>US</x:v>
      </x:c>
      <x:c r="E22" s="38" t="n">
        <x:v>46511</x:v>
      </x:c>
      <x:c r="F22" s="38" t="n">
        <x:v>46517</x:v>
      </x:c>
      <x:c r="G22" s="45" t="str">
        <x:v>Fort Lauderdale, FL</x:v>
      </x:c>
      <x:c r="H22" s="45" t="str">
        <x:v>Fernandina Beach, FL</x:v>
      </x:c>
      <x:c r="I22" s="40" t="n">
        <x:v>340</x:v>
      </x:c>
      <x:c r="J22" s="42" t="n">
        <x:f>'Assumptions &amp; Sources'!$B$4</x:f>
        <x:v>4.8</x:v>
      </x:c>
      <x:c r="K22" s="42" t="n">
        <x:f>I22/J22</x:f>
        <x:v>70.83333333333334</x:v>
      </x:c>
      <x:c r="L22" s="42" t="n">
        <x:f>K22/24</x:f>
        <x:v>2.9513888888888893</x:v>
      </x:c>
      <x:c r="M22" s="42" t="n">
        <x:f>MAX(0,F22-E22-L22)</x:f>
        <x:v>3.0486111111111107</x:v>
      </x:c>
      <x:c r="N22" s="42" t="n">
        <x:f>ROUNDUP(L22*(1+'Assumptions &amp; Sources'!$B$13),0)</x:f>
        <x:v>5</x:v>
      </x:c>
      <x:c r="O22" s="42" t="n">
        <x:f>K22*IF(C22="Offshore",'Assumptions &amp; Sources'!$B$5,IF(OR(C22="Coastal",C22="Coastal cruising"),'Assumptions &amp; Sources'!$B$6,'Assumptions &amp; Sources'!$B$7))*'Assumptions &amp; Sources'!$B$8</x:f>
        <x:v>23.020833333333336</x:v>
      </x:c>
      <x:c r="P22" s="43" t="n">
        <x:f>O22*IF(D22="US",'Assumptions &amp; Sources'!$B$9,'Assumptions &amp; Sources'!$B$10)</x:f>
        <x:v>103.59375000000001</x:v>
      </x:c>
      <x:c r="Q22" s="43" t="n">
        <x:f>L22*'Assumptions &amp; Sources'!$B$11*'Assumptions &amp; Sources'!$B$16</x:f>
        <x:v>73.78472222222223</x:v>
      </x:c>
      <x:c r="R22" s="43" t="n">
        <x:f>M22*'Assumptions &amp; Sources'!$B$12*'Assumptions &amp; Sources'!$B$16</x:f>
        <x:v>106.70138888888887</x:v>
      </x:c>
      <x:c r="S22" s="41" t="n">
        <x:v>0</x:v>
      </x:c>
      <x:c r="T22" s="44" t="n">
        <x:f>SUM(P22:S22)</x:f>
        <x:v>284.0798611111111</x:v>
      </x:c>
      <x:c r="U22" s="46" t="str">
        <x:v>Fort Pierce, Canaveral and St. Augustine are bailouts</x:v>
      </x:c>
    </x:row>
    <x:row r="23" ht="60" hidden="0" customHeight="1">
      <x:c r="A23" s="34" t="n">
        <x:v>17</x:v>
      </x:c>
      <x:c r="B23" s="34" t="str">
        <x:v>May</x:v>
      </x:c>
      <x:c r="C23" s="34" t="str">
        <x:v>Coastal</x:v>
      </x:c>
      <x:c r="D23" s="34" t="str">
        <x:v>US</x:v>
      </x:c>
      <x:c r="E23" s="38" t="n">
        <x:v>46517</x:v>
      </x:c>
      <x:c r="F23" s="38" t="n">
        <x:v>46525</x:v>
      </x:c>
      <x:c r="G23" s="45" t="str">
        <x:v>Fernandina Beach, FL</x:v>
      </x:c>
      <x:c r="H23" s="45" t="str">
        <x:v>Morehead City / Beaufort, NC</x:v>
      </x:c>
      <x:c r="I23" s="40" t="n">
        <x:v>346</x:v>
      </x:c>
      <x:c r="J23" s="42" t="n">
        <x:f>'Assumptions &amp; Sources'!$B$4</x:f>
        <x:v>4.8</x:v>
      </x:c>
      <x:c r="K23" s="42" t="n">
        <x:f>I23/J23</x:f>
        <x:v>72.08333333333334</x:v>
      </x:c>
      <x:c r="L23" s="42" t="n">
        <x:f>K23/24</x:f>
        <x:v>3.0034722222222228</x:v>
      </x:c>
      <x:c r="M23" s="42" t="n">
        <x:f>MAX(0,F23-E23-L23)</x:f>
        <x:v>4.996527777777777</x:v>
      </x:c>
      <x:c r="N23" s="42" t="n">
        <x:f>ROUNDUP(L23*(1+'Assumptions &amp; Sources'!$B$13),0)</x:f>
        <x:v>5</x:v>
      </x:c>
      <x:c r="O23" s="42" t="n">
        <x:f>K23*IF(C23="Offshore",'Assumptions &amp; Sources'!$B$5,IF(OR(C23="Coastal",C23="Coastal cruising"),'Assumptions &amp; Sources'!$B$6,'Assumptions &amp; Sources'!$B$7))*'Assumptions &amp; Sources'!$B$8</x:f>
        <x:v>23.427083333333336</x:v>
      </x:c>
      <x:c r="P23" s="43" t="n">
        <x:f>O23*IF(D23="US",'Assumptions &amp; Sources'!$B$9,'Assumptions &amp; Sources'!$B$10)</x:f>
        <x:v>105.42187500000001</x:v>
      </x:c>
      <x:c r="Q23" s="43" t="n">
        <x:f>L23*'Assumptions &amp; Sources'!$B$11*'Assumptions &amp; Sources'!$B$16</x:f>
        <x:v>75.08680555555557</x:v>
      </x:c>
      <x:c r="R23" s="43" t="n">
        <x:f>M23*'Assumptions &amp; Sources'!$B$12*'Assumptions &amp; Sources'!$B$16</x:f>
        <x:v>174.8784722222222</x:v>
      </x:c>
      <x:c r="S23" s="41" t="n">
        <x:v>0</x:v>
      </x:c>
      <x:c r="T23" s="44" t="n">
        <x:f>SUM(P23:S23)</x:f>
        <x:v>355.3871527777778</x:v>
      </x:c>
      <x:c r="U23" s="46" t="str">
        <x:v>Charleston intermediate stop; time inlet currents</x:v>
      </x:c>
    </x:row>
    <x:row r="24" ht="96" hidden="0" customHeight="1">
      <x:c r="A24" s="34" t="n">
        <x:v>18</x:v>
      </x:c>
      <x:c r="B24" s="34" t="str">
        <x:v>Late May</x:v>
      </x:c>
      <x:c r="C24" s="34" t="str">
        <x:v>Coastal</x:v>
      </x:c>
      <x:c r="D24" s="34" t="str">
        <x:v>US</x:v>
      </x:c>
      <x:c r="E24" s="38" t="n">
        <x:v>46525</x:v>
      </x:c>
      <x:c r="F24" s="38" t="n">
        <x:v>46528</x:v>
      </x:c>
      <x:c r="G24" s="45" t="str">
        <x:v>Morehead City, NC</x:v>
      </x:c>
      <x:c r="H24" s="45" t="str">
        <x:v>Chesapeake entrance</x:v>
      </x:c>
      <x:c r="I24" s="40" t="n">
        <x:v>213</x:v>
      </x:c>
      <x:c r="J24" s="42" t="n">
        <x:f>'Assumptions &amp; Sources'!$B$4</x:f>
        <x:v>4.8</x:v>
      </x:c>
      <x:c r="K24" s="42" t="n">
        <x:f>I24/J24</x:f>
        <x:v>44.375</x:v>
      </x:c>
      <x:c r="L24" s="42" t="n">
        <x:f>K24/24</x:f>
        <x:v>1.8489583333333333</x:v>
      </x:c>
      <x:c r="M24" s="42" t="n">
        <x:f>MAX(0,F24-E24-L24)</x:f>
        <x:v>1.1510416666666667</x:v>
      </x:c>
      <x:c r="N24" s="42" t="n">
        <x:f>ROUNDUP(L24*(1+'Assumptions &amp; Sources'!$B$13),0)</x:f>
        <x:v>3</x:v>
      </x:c>
      <x:c r="O24" s="42" t="n">
        <x:f>K24*IF(C24="Offshore",'Assumptions &amp; Sources'!$B$5,IF(OR(C24="Coastal",C24="Coastal cruising"),'Assumptions &amp; Sources'!$B$6,'Assumptions &amp; Sources'!$B$7))*'Assumptions &amp; Sources'!$B$8</x:f>
        <x:v>14.421875</x:v>
      </x:c>
      <x:c r="P24" s="43" t="n">
        <x:f>O24*IF(D24="US",'Assumptions &amp; Sources'!$B$9,'Assumptions &amp; Sources'!$B$10)</x:f>
        <x:v>64.8984375</x:v>
      </x:c>
      <x:c r="Q24" s="43" t="n">
        <x:f>L24*'Assumptions &amp; Sources'!$B$11*'Assumptions &amp; Sources'!$B$16</x:f>
        <x:v>46.22395833333333</x:v>
      </x:c>
      <x:c r="R24" s="43" t="n">
        <x:f>M24*'Assumptions &amp; Sources'!$B$12*'Assumptions &amp; Sources'!$B$16</x:f>
        <x:v>40.286458333333336</x:v>
      </x:c>
      <x:c r="S24" s="41" t="n">
        <x:v>0</x:v>
      </x:c>
      <x:c r="T24" s="44" t="n">
        <x:f>SUM(P24:S24)</x:f>
        <x:v>151.40885416666666</x:v>
      </x:c>
      <x:c r="U24" s="46" t="str">
        <x:v>Require about a 60-hour usable weather window around Hatteras</x:v>
      </x:c>
    </x:row>
    <x:row r="25" ht="48" hidden="0" customHeight="1">
      <x:c r="A25" s="34" t="n">
        <x:v>19</x:v>
      </x:c>
      <x:c r="B25" s="34" t="str">
        <x:v>Late May</x:v>
      </x:c>
      <x:c r="C25" s="34" t="str">
        <x:v>Coastal</x:v>
      </x:c>
      <x:c r="D25" s="34" t="str">
        <x:v>US</x:v>
      </x:c>
      <x:c r="E25" s="38" t="n">
        <x:v>46528</x:v>
      </x:c>
      <x:c r="F25" s="38" t="n">
        <x:v>46535</x:v>
      </x:c>
      <x:c r="G25" s="45" t="str">
        <x:v>Chesapeake entrance</x:v>
      </x:c>
      <x:c r="H25" s="45" t="str">
        <x:v>Sandy Hook, NJ</x:v>
      </x:c>
      <x:c r="I25" s="40" t="n">
        <x:v>229</x:v>
      </x:c>
      <x:c r="J25" s="42" t="n">
        <x:f>'Assumptions &amp; Sources'!$B$4</x:f>
        <x:v>4.8</x:v>
      </x:c>
      <x:c r="K25" s="42" t="n">
        <x:f>I25/J25</x:f>
        <x:v>47.708333333333336</x:v>
      </x:c>
      <x:c r="L25" s="42" t="n">
        <x:f>K25/24</x:f>
        <x:v>1.9878472222222223</x:v>
      </x:c>
      <x:c r="M25" s="42" t="n">
        <x:f>MAX(0,F25-E25-L25)</x:f>
        <x:v>5.012152777777778</x:v>
      </x:c>
      <x:c r="N25" s="42" t="n">
        <x:f>ROUNDUP(L25*(1+'Assumptions &amp; Sources'!$B$13),0)</x:f>
        <x:v>3</x:v>
      </x:c>
      <x:c r="O25" s="42" t="n">
        <x:f>K25*IF(C25="Offshore",'Assumptions &amp; Sources'!$B$5,IF(OR(C25="Coastal",C25="Coastal cruising"),'Assumptions &amp; Sources'!$B$6,'Assumptions &amp; Sources'!$B$7))*'Assumptions &amp; Sources'!$B$8</x:f>
        <x:v>15.505208333333334</x:v>
      </x:c>
      <x:c r="P25" s="43" t="n">
        <x:f>O25*IF(D25="US",'Assumptions &amp; Sources'!$B$9,'Assumptions &amp; Sources'!$B$10)</x:f>
        <x:v>69.7734375</x:v>
      </x:c>
      <x:c r="Q25" s="43" t="n">
        <x:f>L25*'Assumptions &amp; Sources'!$B$11*'Assumptions &amp; Sources'!$B$16</x:f>
        <x:v>49.69618055555556</x:v>
      </x:c>
      <x:c r="R25" s="43" t="n">
        <x:f>M25*'Assumptions &amp; Sources'!$B$12*'Assumptions &amp; Sources'!$B$16</x:f>
        <x:v>175.42534722222223</x:v>
      </x:c>
      <x:c r="S25" s="41" t="n">
        <x:v>0</x:v>
      </x:c>
      <x:c r="T25" s="44" t="n">
        <x:f>SUM(P25:S25)</x:f>
        <x:v>294.89496527777777</x:v>
      </x:c>
      <x:c r="U25" s="46" t="str">
        <x:v>Cape May and Atlantic City are bailouts</x:v>
      </x:c>
    </x:row>
    <x:row r="26" ht="72" hidden="0" customHeight="1">
      <x:c r="A26" s="34" t="n">
        <x:v>20</x:v>
      </x:c>
      <x:c r="B26" s="34" t="str">
        <x:v>Late May–July</x:v>
      </x:c>
      <x:c r="C26" s="34" t="str">
        <x:v>Coastal cruising</x:v>
      </x:c>
      <x:c r="D26" s="34" t="str">
        <x:v>US</x:v>
      </x:c>
      <x:c r="E26" s="38" t="n">
        <x:v>46535</x:v>
      </x:c>
      <x:c r="F26" s="38" t="n">
        <x:v>46580</x:v>
      </x:c>
      <x:c r="G26" s="45" t="str">
        <x:v>Sandy Hook, NJ</x:v>
      </x:c>
      <x:c r="H26" s="45" t="str">
        <x:v>Cape Cod Canal via Montauk / Newport</x:v>
      </x:c>
      <x:c r="I26" s="40" t="n">
        <x:v>181</x:v>
      </x:c>
      <x:c r="J26" s="42" t="n">
        <x:f>'Assumptions &amp; Sources'!$B$4</x:f>
        <x:v>4.8</x:v>
      </x:c>
      <x:c r="K26" s="42" t="n">
        <x:f>I26/J26</x:f>
        <x:v>37.708333333333336</x:v>
      </x:c>
      <x:c r="L26" s="42" t="n">
        <x:f>K26/24</x:f>
        <x:v>1.5711805555555556</x:v>
      </x:c>
      <x:c r="M26" s="42" t="n">
        <x:f>MAX(0,F26-E26-L26)</x:f>
        <x:v>43.42881944444444</x:v>
      </x:c>
      <x:c r="N26" s="42" t="n">
        <x:f>ROUNDUP(L26*(1+'Assumptions &amp; Sources'!$B$13),0)</x:f>
        <x:v>3</x:v>
      </x:c>
      <x:c r="O26" s="42" t="n">
        <x:f>K26*IF(C26="Offshore",'Assumptions &amp; Sources'!$B$5,IF(OR(C26="Coastal",C26="Coastal cruising"),'Assumptions &amp; Sources'!$B$6,'Assumptions &amp; Sources'!$B$7))*'Assumptions &amp; Sources'!$B$8</x:f>
        <x:v>12.255208333333334</x:v>
      </x:c>
      <x:c r="P26" s="43" t="n">
        <x:f>O26*IF(D26="US",'Assumptions &amp; Sources'!$B$9,'Assumptions &amp; Sources'!$B$10)</x:f>
        <x:v>55.1484375</x:v>
      </x:c>
      <x:c r="Q26" s="43" t="n">
        <x:f>L26*'Assumptions &amp; Sources'!$B$11*'Assumptions &amp; Sources'!$B$16</x:f>
        <x:v>39.27951388888889</x:v>
      </x:c>
      <x:c r="R26" s="43" t="n">
        <x:f>M26*'Assumptions &amp; Sources'!$B$12*'Assumptions &amp; Sources'!$B$16</x:f>
        <x:v>1520.0086805555554</x:v>
      </x:c>
      <x:c r="S26" s="41" t="n">
        <x:v>0</x:v>
      </x:c>
      <x:c r="T26" s="44" t="n">
        <x:f>SUM(P26:S26)</x:f>
        <x:v>1614.4366319444443</x:v>
      </x:c>
      <x:c r="U26" s="46" t="str">
        <x:v>Montauk, Block Island and Newport; fair Canal current</x:v>
      </x:c>
    </x:row>
    <x:row r="27" ht="48" hidden="0" customHeight="1">
      <x:c r="A27" s="34" t="n">
        <x:v>21</x:v>
      </x:c>
      <x:c r="B27" s="34" t="str">
        <x:v>July–early Sept</x:v>
      </x:c>
      <x:c r="C27" s="34" t="str">
        <x:v>Coastal cruising</x:v>
      </x:c>
      <x:c r="D27" s="34" t="str">
        <x:v>US</x:v>
      </x:c>
      <x:c r="E27" s="38" t="n">
        <x:v>46580</x:v>
      </x:c>
      <x:c r="F27" s="38" t="n">
        <x:v>46635</x:v>
      </x:c>
      <x:c r="G27" s="45" t="str">
        <x:v>Cape Cod Canal</x:v>
      </x:c>
      <x:c r="H27" s="45" t="str">
        <x:v>Bar Harbor / Mount Desert, ME</x:v>
      </x:c>
      <x:c r="I27" s="40" t="n">
        <x:v>212</x:v>
      </x:c>
      <x:c r="J27" s="42" t="n">
        <x:f>'Assumptions &amp; Sources'!$B$4</x:f>
        <x:v>4.8</x:v>
      </x:c>
      <x:c r="K27" s="42" t="n">
        <x:f>I27/J27</x:f>
        <x:v>44.16666666666667</x:v>
      </x:c>
      <x:c r="L27" s="42" t="n">
        <x:f>K27/24</x:f>
        <x:v>1.840277777777778</x:v>
      </x:c>
      <x:c r="M27" s="42" t="n">
        <x:f>MAX(0,F27-E27-L27)</x:f>
        <x:v>53.15972222222222</x:v>
      </x:c>
      <x:c r="N27" s="42" t="n">
        <x:f>ROUNDUP(L27*(1+'Assumptions &amp; Sources'!$B$13),0)</x:f>
        <x:v>3</x:v>
      </x:c>
      <x:c r="O27" s="42" t="n">
        <x:f>K27*IF(C27="Offshore",'Assumptions &amp; Sources'!$B$5,IF(OR(C27="Coastal",C27="Coastal cruising"),'Assumptions &amp; Sources'!$B$6,'Assumptions &amp; Sources'!$B$7))*'Assumptions &amp; Sources'!$B$8</x:f>
        <x:v>14.354166666666668</x:v>
      </x:c>
      <x:c r="P27" s="43" t="n">
        <x:f>O27*IF(D27="US",'Assumptions &amp; Sources'!$B$9,'Assumptions &amp; Sources'!$B$10)</x:f>
        <x:v>64.59375</x:v>
      </x:c>
      <x:c r="Q27" s="43" t="n">
        <x:f>L27*'Assumptions &amp; Sources'!$B$11*'Assumptions &amp; Sources'!$B$16</x:f>
        <x:v>46.00694444444445</x:v>
      </x:c>
      <x:c r="R27" s="43" t="n">
        <x:f>M27*'Assumptions &amp; Sources'!$B$12*'Assumptions &amp; Sources'!$B$16</x:f>
        <x:v>1860.5902777777778</x:v>
      </x:c>
      <x:c r="S27" s="41" t="n">
        <x:v>0</x:v>
      </x:c>
      <x:c r="T27" s="44" t="n">
        <x:f>SUM(P27:S27)</x:f>
        <x:v>1971.1909722222222</x:v>
      </x:c>
      <x:c r="U27" s="46" t="str">
        <x:v>Portland, Rockland and Maine islands</x:v>
      </x:c>
    </x:row>
    <x:row r="28" ht="72" hidden="0" customHeight="1">
      <x:c r="A28" s="34" t="n">
        <x:v>22</x:v>
      </x:c>
      <x:c r="B28" s="34" t="str">
        <x:v>September</x:v>
      </x:c>
      <x:c r="C28" s="34" t="str">
        <x:v>Coastal</x:v>
      </x:c>
      <x:c r="D28" s="34" t="str">
        <x:v>US</x:v>
      </x:c>
      <x:c r="E28" s="38" t="n">
        <x:v>46635</x:v>
      </x:c>
      <x:c r="F28" s="38" t="n">
        <x:v>46655</x:v>
      </x:c>
      <x:c r="G28" s="45" t="str">
        <x:v>Bar Harbor, ME</x:v>
      </x:c>
      <x:c r="H28" s="45" t="str">
        <x:v>Newport, RI</x:v>
      </x:c>
      <x:c r="I28" s="40" t="n">
        <x:v>254</x:v>
      </x:c>
      <x:c r="J28" s="42" t="n">
        <x:f>'Assumptions &amp; Sources'!$B$4</x:f>
        <x:v>4.8</x:v>
      </x:c>
      <x:c r="K28" s="42" t="n">
        <x:f>I28/J28</x:f>
        <x:v>52.91666666666667</x:v>
      </x:c>
      <x:c r="L28" s="42" t="n">
        <x:f>K28/24</x:f>
        <x:v>2.204861111111111</x:v>
      </x:c>
      <x:c r="M28" s="42" t="n">
        <x:f>MAX(0,F28-E28-L28)</x:f>
        <x:v>17.79513888888889</x:v>
      </x:c>
      <x:c r="N28" s="42" t="n">
        <x:f>ROUNDUP(L28*(1+'Assumptions &amp; Sources'!$B$13),0)</x:f>
        <x:v>4</x:v>
      </x:c>
      <x:c r="O28" s="42" t="n">
        <x:f>K28*IF(C28="Offshore",'Assumptions &amp; Sources'!$B$5,IF(OR(C28="Coastal",C28="Coastal cruising"),'Assumptions &amp; Sources'!$B$6,'Assumptions &amp; Sources'!$B$7))*'Assumptions &amp; Sources'!$B$8</x:f>
        <x:v>17.197916666666668</x:v>
      </x:c>
      <x:c r="P28" s="43" t="n">
        <x:f>O28*IF(D28="US",'Assumptions &amp; Sources'!$B$9,'Assumptions &amp; Sources'!$B$10)</x:f>
        <x:v>77.390625</x:v>
      </x:c>
      <x:c r="Q28" s="43" t="n">
        <x:f>L28*'Assumptions &amp; Sources'!$B$11*'Assumptions &amp; Sources'!$B$16</x:f>
        <x:v>55.12152777777778</x:v>
      </x:c>
      <x:c r="R28" s="43" t="n">
        <x:f>M28*'Assumptions &amp; Sources'!$B$12*'Assumptions &amp; Sources'!$B$16</x:f>
        <x:v>622.8298611111111</x:v>
      </x:c>
      <x:c r="S28" s="41" t="n">
        <x:v>0</x:v>
      </x:c>
      <x:c r="T28" s="44" t="n">
        <x:f>SUM(P28:S28)</x:f>
        <x:v>755.3420138888889</x:v>
      </x:c>
      <x:c r="U28" s="46" t="str">
        <x:v>Portland then Cape Cod Canal; fair westbound current</x:v>
      </x:c>
    </x:row>
    <x:row r="29" ht="48" hidden="0" customHeight="1">
      <x:c r="A29" s="34" t="n">
        <x:v>23</x:v>
      </x:c>
      <x:c r="B29" s="34" t="str">
        <x:v>Late Sept–Oct</x:v>
      </x:c>
      <x:c r="C29" s="34" t="str">
        <x:v>Coastal</x:v>
      </x:c>
      <x:c r="D29" s="34" t="str">
        <x:v>US</x:v>
      </x:c>
      <x:c r="E29" s="38" t="n">
        <x:v>46655</x:v>
      </x:c>
      <x:c r="F29" s="38" t="n">
        <x:v>46680</x:v>
      </x:c>
      <x:c r="G29" s="45" t="str">
        <x:v>Newport, RI</x:v>
      </x:c>
      <x:c r="H29" s="45" t="str">
        <x:v>Cape May, NJ</x:v>
      </x:c>
      <x:c r="I29" s="40" t="n">
        <x:v>237</x:v>
      </x:c>
      <x:c r="J29" s="42" t="n">
        <x:f>'Assumptions &amp; Sources'!$B$4</x:f>
        <x:v>4.8</x:v>
      </x:c>
      <x:c r="K29" s="42" t="n">
        <x:f>I29/J29</x:f>
        <x:v>49.375</x:v>
      </x:c>
      <x:c r="L29" s="42" t="n">
        <x:f>K29/24</x:f>
        <x:v>2.0572916666666665</x:v>
      </x:c>
      <x:c r="M29" s="42" t="n">
        <x:f>MAX(0,F29-E29-L29)</x:f>
        <x:v>22.942708333333332</x:v>
      </x:c>
      <x:c r="N29" s="42" t="n">
        <x:f>ROUNDUP(L29*(1+'Assumptions &amp; Sources'!$B$13),0)</x:f>
        <x:v>4</x:v>
      </x:c>
      <x:c r="O29" s="42" t="n">
        <x:f>K29*IF(C29="Offshore",'Assumptions &amp; Sources'!$B$5,IF(OR(C29="Coastal",C29="Coastal cruising"),'Assumptions &amp; Sources'!$B$6,'Assumptions &amp; Sources'!$B$7))*'Assumptions &amp; Sources'!$B$8</x:f>
        <x:v>16.046875</x:v>
      </x:c>
      <x:c r="P29" s="43" t="n">
        <x:f>O29*IF(D29="US",'Assumptions &amp; Sources'!$B$9,'Assumptions &amp; Sources'!$B$10)</x:f>
        <x:v>72.2109375</x:v>
      </x:c>
      <x:c r="Q29" s="43" t="n">
        <x:f>L29*'Assumptions &amp; Sources'!$B$11*'Assumptions &amp; Sources'!$B$16</x:f>
        <x:v>51.432291666666664</x:v>
      </x:c>
      <x:c r="R29" s="43" t="n">
        <x:f>M29*'Assumptions &amp; Sources'!$B$12*'Assumptions &amp; Sources'!$B$16</x:f>
        <x:v>802.9947916666666</x:v>
      </x:c>
      <x:c r="S29" s="41" t="n">
        <x:v>0</x:v>
      </x:c>
      <x:c r="T29" s="44" t="n">
        <x:f>SUM(P29:S29)</x:f>
        <x:v>926.6380208333333</x:v>
      </x:c>
      <x:c r="U29" s="46" t="str">
        <x:v>Sandy Hook intermediate stop</x:v>
      </x:c>
    </x:row>
    <x:row r="30" ht="84" hidden="0" customHeight="1">
      <x:c r="A30" s="34" t="n">
        <x:v>24</x:v>
      </x:c>
      <x:c r="B30" s="34" t="str">
        <x:v>Late October</x:v>
      </x:c>
      <x:c r="C30" s="34" t="str">
        <x:v>Coastal</x:v>
      </x:c>
      <x:c r="D30" s="34" t="str">
        <x:v>US</x:v>
      </x:c>
      <x:c r="E30" s="38" t="n">
        <x:v>46680</x:v>
      </x:c>
      <x:c r="F30" s="38" t="n">
        <x:v>46696</x:v>
      </x:c>
      <x:c r="G30" s="45" t="str">
        <x:v>Cape May, NJ</x:v>
      </x:c>
      <x:c r="H30" s="45" t="str">
        <x:v>Norfolk / Hampton, VA</x:v>
      </x:c>
      <x:c r="I30" s="40" t="n">
        <x:v>136</x:v>
      </x:c>
      <x:c r="J30" s="42" t="n">
        <x:f>'Assumptions &amp; Sources'!$B$4</x:f>
        <x:v>4.8</x:v>
      </x:c>
      <x:c r="K30" s="42" t="n">
        <x:f>I30/J30</x:f>
        <x:v>28.333333333333336</x:v>
      </x:c>
      <x:c r="L30" s="42" t="n">
        <x:f>K30/24</x:f>
        <x:v>1.1805555555555556</x:v>
      </x:c>
      <x:c r="M30" s="42" t="n">
        <x:f>MAX(0,F30-E30-L30)</x:f>
        <x:v>14.819444444444445</x:v>
      </x:c>
      <x:c r="N30" s="42" t="n">
        <x:f>ROUNDUP(L30*(1+'Assumptions &amp; Sources'!$B$13),0)</x:f>
        <x:v>2</x:v>
      </x:c>
      <x:c r="O30" s="42" t="n">
        <x:f>K30*IF(C30="Offshore",'Assumptions &amp; Sources'!$B$5,IF(OR(C30="Coastal",C30="Coastal cruising"),'Assumptions &amp; Sources'!$B$6,'Assumptions &amp; Sources'!$B$7))*'Assumptions &amp; Sources'!$B$8</x:f>
        <x:v>9.208333333333334</x:v>
      </x:c>
      <x:c r="P30" s="43" t="n">
        <x:f>O30*IF(D30="US",'Assumptions &amp; Sources'!$B$9,'Assumptions &amp; Sources'!$B$10)</x:f>
        <x:v>41.4375</x:v>
      </x:c>
      <x:c r="Q30" s="43" t="n">
        <x:f>L30*'Assumptions &amp; Sources'!$B$11*'Assumptions &amp; Sources'!$B$16</x:f>
        <x:v>29.51388888888889</x:v>
      </x:c>
      <x:c r="R30" s="43" t="n">
        <x:f>M30*'Assumptions &amp; Sources'!$B$12*'Assumptions &amp; Sources'!$B$16</x:f>
        <x:v>518.6805555555555</x:v>
      </x:c>
      <x:c r="S30" s="41" t="n">
        <x:v>0</x:v>
      </x:c>
      <x:c r="T30" s="44" t="n">
        <x:f>SUM(P30:S30)</x:f>
        <x:v>589.6319444444445</x:v>
      </x:c>
      <x:c r="U30" s="46" t="str">
        <x:v>Finish in Hampton Roads; time Cape May and Chesapeake tides</x:v>
      </x:c>
    </x:row>
  </x:sheetData>
  <x:mergeCells>
    <x:mergeCell ref="A1:U1"/>
    <x:mergeCell ref="A2:U2"/>
    <x:mergeCell ref="A3:B3"/>
    <x:mergeCell ref="A4:B4"/>
    <x:mergeCell ref="C3:D3"/>
    <x:mergeCell ref="C4:D4"/>
    <x:mergeCell ref="E3:F3"/>
    <x:mergeCell ref="E4:F4"/>
    <x:mergeCell ref="G3:H3"/>
    <x:mergeCell ref="G4:H4"/>
    <x:mergeCell ref="I3:J3"/>
    <x:mergeCell ref="I4:J4"/>
    <x:mergeCell ref="K3:L3"/>
    <x:mergeCell ref="K4:L4"/>
    <x:mergeCell ref="M3:N3"/>
    <x:mergeCell ref="M4:N4"/>
    <x:mergeCell ref="O3:P3"/>
    <x:mergeCell ref="O4:P4"/>
    <x:mergeCell ref="Q3:R3"/>
    <x:mergeCell ref="Q4:R4"/>
  </x:mergeCells>
  <x:pageMargins left="0.7" right="0.7" top="0.75" bottom="0.75" header="0.3" footer="0.3"/>
  <x:tableParts count="1">
    <x:tablePart xmlns:r="http://schemas.openxmlformats.org/officeDocument/2006/relationships" r:id="R9552f3c9fe654a4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11" hidden="0" customWidth="1"/>
    <x:col min="4" max="4" width="11" hidden="0" customWidth="1"/>
    <x:col min="5" max="5" width="23" hidden="0" customWidth="1"/>
    <x:col min="6" max="6" width="46" hidden="0" customWidth="1"/>
    <x:col min="7" max="7" width="46" hidden="0" customWidth="1"/>
    <x:col min="8" max="8" width="46" hidden="0" customWidth="1"/>
  </x:cols>
  <x:sheetData>
    <x:row r="1" ht="19.200000762939453" hidden="0" customHeight="1">
      <x:c r="A1" s="2" t="str">
        <x:v>WEATHER, CURRENT &amp; SAFETY CORRECTIONS</x:v>
      </x:c>
      <x:c r="B1" s="2"/>
      <x:c r="C1" s="2"/>
      <x:c r="D1" s="2"/>
      <x:c r="E1" s="2"/>
      <x:c r="F1" s="2"/>
      <x:c r="G1" s="2"/>
      <x:c r="H1" s="2"/>
    </x:row>
    <x:row r="2"/>
    <x:row r="3" ht="39.599998474121094" hidden="0" customHeight="1">
      <x:c r="A3" s="5" t="str">
        <x:v>Leg</x:v>
      </x:c>
      <x:c r="B3" s="5" t="str">
        <x:v>Route</x:v>
      </x:c>
      <x:c r="C3" s="5" t="str">
        <x:v>Air avg °F</x:v>
      </x:c>
      <x:c r="D3" s="5" t="str">
        <x:v>SST avg °F</x:v>
      </x:c>
      <x:c r="E3" s="5" t="str">
        <x:v>Temperature notes</x:v>
      </x:c>
      <x:c r="F3" s="5" t="str">
        <x:v>Favorable wind / window</x:v>
      </x:c>
      <x:c r="G3" s="5" t="str">
        <x:v>Current and tidal notes</x:v>
      </x:c>
      <x:c r="H3" s="5" t="str">
        <x:v>Correction / caution</x:v>
      </x:c>
    </x:row>
    <x:row r="4" ht="96" hidden="0" customHeight="1">
      <x:c r="A4" s="46" t="n">
        <x:v>1</x:v>
      </x:c>
      <x:c r="B4" s="46" t="str">
        <x:v>Sandy Hook → Norfolk</x:v>
      </x:c>
      <x:c r="C4" s="48" t="n">
        <x:v>60</x:v>
      </x:c>
      <x:c r="D4" s="48" t="n">
        <x:v>63</x:v>
      </x:c>
      <x:c r="E4" s="46" t="str">
        <x:v>Rapidly cooling fall coast</x:v>
      </x:c>
      <x:c r="F4" s="46" t="str">
        <x:v>W–NW after a front or light; avoid lingering NE</x:v>
      </x:c>
      <x:c r="G4" s="46" t="str">
        <x:v>Weak alongshore set; strong inlet tides</x:v>
      </x:c>
      <x:c r="H4" s="49" t="str">
        <x:v>New staging leg separates Sandy Hook from the Bermuda mileage.</x:v>
      </x:c>
    </x:row>
    <x:row r="5" ht="108" hidden="0" customHeight="1">
      <x:c r="A5" s="46" t="n">
        <x:v>2</x:v>
      </x:c>
      <x:c r="B5" s="46" t="str">
        <x:v>Norfolk → Bermuda</x:v>
      </x:c>
      <x:c r="C5" s="48" t="n">
        <x:v>68</x:v>
      </x:c>
      <x:c r="D5" s="48" t="n">
        <x:v>74</x:v>
      </x:c>
      <x:c r="E5" s="46" t="str">
        <x:v>Cold start, warmer quickly</x:v>
      </x:c>
      <x:c r="F5" s="46" t="str">
        <x:v>Only a stable multi-day window; avoid strong north wind during Stream crossing</x:v>
      </x:c>
      <x:c r="G5" s="46" t="str">
        <x:v>Cross the full Gulf Stream; axis and speed vary</x:v>
      </x:c>
      <x:c r="H5" s="49" t="str">
        <x:v>Do not describe this as merely clipping the Stream. Recheck live Stream analysis.</x:v>
      </x:c>
    </x:row>
    <x:row r="6" ht="96" hidden="0" customHeight="1">
      <x:c r="A6" s="46" t="n">
        <x:v>3</x:v>
      </x:c>
      <x:c r="B6" s="46" t="str">
        <x:v>Bermuda → Sint Maarten</x:v>
      </x:c>
      <x:c r="C6" s="48" t="n">
        <x:v>76</x:v>
      </x:c>
      <x:c r="D6" s="48" t="n">
        <x:v>78</x:v>
      </x:c>
      <x:c r="E6" s="46" t="str">
        <x:v>Warms south of 30°N</x:v>
      </x:c>
      <x:c r="F6" s="46" t="str">
        <x:v>N–NE easing toward E 12–20; make necessary easting early</x:v>
      </x:c>
      <x:c r="G6" s="46" t="str">
        <x:v>Weak variable flow near Bermuda, then slight west set</x:v>
      </x:c>
      <x:c r="H6" s="49" t="str">
        <x:v>Provision for 10–12 days even though the 4.8-knot estimate is about 7.5 days.</x:v>
      </x:c>
    </x:row>
    <x:row r="7" ht="84" hidden="0" customHeight="1">
      <x:c r="A7" s="46" t="n">
        <x:v>4</x:v>
      </x:c>
      <x:c r="B7" s="46" t="str">
        <x:v>Leeward island circuit</x:v>
      </x:c>
      <x:c r="C7" s="48" t="n">
        <x:v>81</x:v>
      </x:c>
      <x:c r="D7" s="48" t="n">
        <x:v>80</x:v>
      </x:c>
      <x:c r="E7" s="46" t="str">
        <x:v>Dry-season conditions</x:v>
      </x:c>
      <x:c r="F7" s="46" t="str">
        <x:v>E–NE trades 12–20; wait for softer wind on eastbound pieces</x:v>
      </x:c>
      <x:c r="G7" s="46" t="str">
        <x:v>Local channel set generally west</x:v>
      </x:c>
      <x:c r="H7" s="49" t="str">
        <x:v>Route ends at St. Kitts; next leg therefore starts at St. Kitts, not St. Martin.</x:v>
      </x:c>
    </x:row>
    <x:row r="8" ht="60" hidden="0" customHeight="1">
      <x:c r="A8" s="46" t="n">
        <x:v>5</x:v>
      </x:c>
      <x:c r="B8" s="46" t="str">
        <x:v>St. Kitts → Virgin Gorda</x:v>
      </x:c>
      <x:c r="C8" s="48" t="n">
        <x:v>80</x:v>
      </x:c>
      <x:c r="D8" s="48" t="n">
        <x:v>80</x:v>
      </x:c>
      <x:c r="E8" s="46" t="str">
        <x:v>Christmas-wind period</x:v>
      </x:c>
      <x:c r="F8" s="46" t="str">
        <x:v>E–NE 15–20; avoid 25+ knot burst</x:v>
      </x:c>
      <x:c r="G8" s="46" t="str">
        <x:v>Generally west-setting regional flow</x:v>
      </x:c>
      <x:c r="H8" s="49" t="str">
        <x:v>Corrected distance/continuity from St. Kitts to BVI.</x:v>
      </x:c>
    </x:row>
    <x:row r="9" ht="84" hidden="0" customHeight="1">
      <x:c r="A9" s="46" t="n">
        <x:v>6</x:v>
      </x:c>
      <x:c r="B9" s="46" t="str">
        <x:v>BVI / USVI cruising</x:v>
      </x:c>
      <x:c r="C9" s="48" t="n">
        <x:v>79</x:v>
      </x:c>
      <x:c r="D9" s="48" t="n">
        <x:v>79</x:v>
      </x:c>
      <x:c r="E9" s="46" t="str">
        <x:v>Cooler winter nights</x:v>
      </x:c>
      <x:c r="F9" s="46" t="str">
        <x:v>E–NE 12–20; reef early in channels</x:v>
      </x:c>
      <x:c r="G9" s="46" t="str">
        <x:v>Tidal currents in cuts; local reversals</x:v>
      </x:c>
      <x:c r="H9" s="49" t="str">
        <x:v>International entry occurs when moving from BVI to USVI.</x:v>
      </x:c>
    </x:row>
    <x:row r="10" ht="96" hidden="0" customHeight="1">
      <x:c r="A10" s="46" t="n">
        <x:v>7</x:v>
      </x:c>
      <x:c r="B10" s="46" t="str">
        <x:v>USVI → Spanish Virgins</x:v>
      </x:c>
      <x:c r="C10" s="48" t="n">
        <x:v>80</x:v>
      </x:c>
      <x:c r="D10" s="48" t="n">
        <x:v>79</x:v>
      </x:c>
      <x:c r="E10" s="46" t="str">
        <x:v>Generally settled winter weather</x:v>
      </x:c>
      <x:c r="F10" s="46" t="str">
        <x:v>E–NE trades; westbound reach</x:v>
      </x:c>
      <x:c r="G10" s="46" t="str">
        <x:v>Shoal-bank and cut currents</x:v>
      </x:c>
      <x:c r="H10" s="49" t="str">
        <x:v>No second international clearance between USVI and Puerto Rico after U.S. entry.</x:v>
      </x:c>
    </x:row>
    <x:row r="11" ht="108" hidden="0" customHeight="1">
      <x:c r="A11" s="46" t="n">
        <x:v>8</x:v>
      </x:c>
      <x:c r="B11" s="46" t="str">
        <x:v>Puerto Rico east → west</x:v>
      </x:c>
      <x:c r="C11" s="48" t="n">
        <x:v>81</x:v>
      </x:c>
      <x:c r="D11" s="48" t="n">
        <x:v>79</x:v>
      </x:c>
      <x:c r="E11" s="46" t="str">
        <x:v>South coast usually calmer in mornings</x:v>
      </x:c>
      <x:c r="F11" s="46" t="str">
        <x:v>Use early-morning land breeze; avoid strong afternoon trades</x:v>
      </x:c>
      <x:c r="G11" s="46" t="str">
        <x:v>Generally weak south-coast current</x:v>
      </x:c>
      <x:c r="H11" s="49" t="str">
        <x:v>Corrected to a south-coast cruising route via Salinas/Ponce; 120 nm routed allowance.</x:v>
      </x:c>
    </x:row>
    <x:row r="12" ht="144" hidden="0" customHeight="1">
      <x:c r="A12" s="46" t="n">
        <x:v>9</x:v>
      </x:c>
      <x:c r="B12" s="46" t="str">
        <x:v>Mona Passage</x:v>
      </x:c>
      <x:c r="C12" s="48" t="n">
        <x:v>80</x:v>
      </x:c>
      <x:c r="D12" s="48" t="n">
        <x:v>79</x:v>
      </x:c>
      <x:c r="E12" s="46" t="str">
        <x:v>Open-water exposure</x:v>
      </x:c>
      <x:c r="F12" s="46" t="str">
        <x:v>Prefer under 15 knots or a post-front lull; avoid strong trades and swell</x:v>
      </x:c>
      <x:c r="G12" s="46" t="str">
        <x:v>Westward background flow plus strong tidal variability</x:v>
      </x:c>
      <x:c r="H12" s="49" t="str">
        <x:v>Easterly wind does not oppose west-going current; roughness comes from strong trades, swell and tidal/current interaction.</x:v>
      </x:c>
    </x:row>
    <x:row r="13" ht="84" hidden="0" customHeight="1">
      <x:c r="A13" s="46" t="n">
        <x:v>10</x:v>
      </x:c>
      <x:c r="B13" s="46" t="str">
        <x:v>Samaná → Luperón</x:v>
      </x:c>
      <x:c r="C13" s="48" t="n">
        <x:v>81</x:v>
      </x:c>
      <x:c r="D13" s="48" t="n">
        <x:v>79</x:v>
      </x:c>
      <x:c r="E13" s="46" t="str">
        <x:v>Exposed north coast</x:v>
      </x:c>
      <x:c r="F13" s="46" t="str">
        <x:v>Wait for northerly swell to decay; use overnight land-breeze strategy</x:v>
      </x:c>
      <x:c r="G13" s="46" t="str">
        <x:v>Typical westward set along north coast</x:v>
      </x:c>
      <x:c r="H13" s="49" t="str">
        <x:v>Distance increased and domestic despacho requirement noted.</x:v>
      </x:c>
    </x:row>
    <x:row r="14" ht="96" hidden="0" customHeight="1">
      <x:c r="A14" s="46" t="n">
        <x:v>11</x:v>
      </x:c>
      <x:c r="B14" s="46" t="str">
        <x:v>DR → Turks &amp; Caicos</x:v>
      </x:c>
      <x:c r="C14" s="48" t="n">
        <x:v>79</x:v>
      </x:c>
      <x:c r="D14" s="48" t="n">
        <x:v>78</x:v>
      </x:c>
      <x:c r="E14" s="46" t="str">
        <x:v>Banks can be cooler after fronts</x:v>
      </x:c>
      <x:c r="F14" s="46" t="str">
        <x:v>E–SE 12–18 with no lingering north swell</x:v>
      </x:c>
      <x:c r="G14" s="46" t="str">
        <x:v>Cuts may run 1–2 knots</x:v>
      </x:c>
      <x:c r="H14" s="49" t="str">
        <x:v>Exact destination chosen: Providenciales, not Provo/Grand Turk combined.</x:v>
      </x:c>
    </x:row>
    <x:row r="15" ht="72" hidden="0" customHeight="1">
      <x:c r="A15" s="46" t="n">
        <x:v>12</x:v>
      </x:c>
      <x:c r="B15" s="46" t="str">
        <x:v>TCI → Mayaguana</x:v>
      </x:c>
      <x:c r="C15" s="48" t="n">
        <x:v>79</x:v>
      </x:c>
      <x:c r="D15" s="48" t="n">
        <x:v>78</x:v>
      </x:c>
      <x:c r="E15" s="46" t="str">
        <x:v>Late-season fronts remain possible</x:v>
      </x:c>
      <x:c r="F15" s="46" t="str">
        <x:v>Moderate E 12–18; no north swell on bank edge</x:v>
      </x:c>
      <x:c r="G15" s="46" t="str">
        <x:v>Cut current can be strong</x:v>
      </x:c>
      <x:c r="H15" s="49" t="str">
        <x:v>Providenciales–Mayaguana routed distance corrected to 65 nm.</x:v>
      </x:c>
    </x:row>
    <x:row r="16" ht="132" hidden="0" customHeight="1">
      <x:c r="A16" s="46" t="n">
        <x:v>13</x:v>
      </x:c>
      <x:c r="B16" s="46" t="str">
        <x:v>Southern Bahamas</x:v>
      </x:c>
      <x:c r="C16" s="48" t="n">
        <x:v>80</x:v>
      </x:c>
      <x:c r="D16" s="48" t="n">
        <x:v>79</x:v>
      </x:c>
      <x:c r="E16" s="46" t="str">
        <x:v>Good April cruising climate</x:v>
      </x:c>
      <x:c r="F16" s="46" t="str">
        <x:v>E–SE 12–18; high sun for coral-head visibility</x:v>
      </x:c>
      <x:c r="G16" s="46" t="str">
        <x:v>Strong tidal streams in cuts</x:v>
      </x:c>
      <x:c r="H16" s="49" t="str">
        <x:v>Yellow Bank timing is about visibility and settled weather, not a blanket slack-tide requirement.</x:v>
      </x:c>
    </x:row>
    <x:row r="17" ht="84" hidden="0" customHeight="1">
      <x:c r="A17" s="46" t="n">
        <x:v>14</x:v>
      </x:c>
      <x:c r="B17" s="46" t="str">
        <x:v>Exumas → Bimini</x:v>
      </x:c>
      <x:c r="C17" s="48" t="n">
        <x:v>79</x:v>
      </x:c>
      <x:c r="D17" s="48" t="n">
        <x:v>78</x:v>
      </x:c>
      <x:c r="E17" s="46" t="str">
        <x:v>Late norther still possible</x:v>
      </x:c>
      <x:c r="F17" s="46" t="str">
        <x:v>E or SE 10–18 after banks flatten</x:v>
      </x:c>
      <x:c r="G17" s="46" t="str">
        <x:v>Bank and channel currents; Stream begins west of Bimini</x:v>
      </x:c>
      <x:c r="H17" s="49" t="str">
        <x:v>Distance retained as routed allowance rather than straight-line figure.</x:v>
      </x:c>
    </x:row>
    <x:row r="18" ht="168" hidden="0" customHeight="1">
      <x:c r="A18" s="46" t="n">
        <x:v>15</x:v>
      </x:c>
      <x:c r="B18" s="46" t="str">
        <x:v>Bimini → Fort Lauderdale</x:v>
      </x:c>
      <x:c r="C18" s="48" t="n">
        <x:v>80</x:v>
      </x:c>
      <x:c r="D18" s="48" t="n">
        <x:v>80</x:v>
      </x:c>
      <x:c r="E18" s="46" t="str">
        <x:v>Warmest water in the Stream</x:v>
      </x:c>
      <x:c r="F18" s="46" t="str">
        <x:v>No north wind; S–SE or light preferred</x:v>
      </x:c>
      <x:c r="G18" s="46" t="str">
        <x:v>Gulf Stream sets strongly north</x:v>
      </x:c>
      <x:c r="H18" s="49" t="str">
        <x:v>Critical correction: compensate by steering/aiming south of the intended Florida landfall, then update from observed set.</x:v>
      </x:c>
    </x:row>
    <x:row r="19" ht="120" hidden="0" customHeight="1">
      <x:c r="A19" s="46" t="n">
        <x:v>16</x:v>
      </x:c>
      <x:c r="B19" s="46" t="str">
        <x:v>Florida northbound</x:v>
      </x:c>
      <x:c r="C19" s="48" t="n">
        <x:v>80</x:v>
      </x:c>
      <x:c r="D19" s="48" t="n">
        <x:v>79</x:v>
      </x:c>
      <x:c r="E19" s="46" t="str">
        <x:v>Warm and increasingly humid</x:v>
      </x:c>
      <x:c r="F19" s="46" t="str">
        <x:v>S–SE or light; avoid norther against Stream</x:v>
      </x:c>
      <x:c r="G19" s="46" t="str">
        <x:v>Use western edge only in a safe forecast; retain bailout margin</x:v>
      </x:c>
      <x:c r="H19" s="49" t="str">
        <x:v>Fuel model now uses expected motor percentage rather than charging fuel per nautical mile.</x:v>
      </x:c>
    </x:row>
    <x:row r="20" ht="96" hidden="0" customHeight="1">
      <x:c r="A20" s="46" t="n">
        <x:v>17</x:v>
      </x:c>
      <x:c r="B20" s="46" t="str">
        <x:v>Georgia / Carolinas</x:v>
      </x:c>
      <x:c r="C20" s="48" t="n">
        <x:v>78</x:v>
      </x:c>
      <x:c r="D20" s="48" t="n">
        <x:v>76</x:v>
      </x:c>
      <x:c r="E20" s="46" t="str">
        <x:v>Water cools northward</x:v>
      </x:c>
      <x:c r="F20" s="46" t="str">
        <x:v>SW–S or light; avoid fresh NE near capes</x:v>
      </x:c>
      <x:c r="G20" s="46" t="str">
        <x:v>Stream remains offshore; inlet tides can exceed 2 knots</x:v>
      </x:c>
      <x:c r="H20" s="49" t="str">
        <x:v>No assumption that the Stream is 40–80 nm offshore everywhere.</x:v>
      </x:c>
    </x:row>
    <x:row r="21" ht="96" hidden="0" customHeight="1">
      <x:c r="A21" s="46" t="n">
        <x:v>18</x:v>
      </x:c>
      <x:c r="B21" s="46" t="str">
        <x:v>Cape Hatteras</x:v>
      </x:c>
      <x:c r="C21" s="48" t="n">
        <x:v>76</x:v>
      </x:c>
      <x:c r="D21" s="48" t="n">
        <x:v>74</x:v>
      </x:c>
      <x:c r="E21" s="46" t="str">
        <x:v>Rapidly changing cape conditions</x:v>
      </x:c>
      <x:c r="F21" s="46" t="str">
        <x:v>About 60 usable forecast hours; W–SW or light preferred</x:v>
      </x:c>
      <x:c r="G21" s="46" t="str">
        <x:v>Stream closest to shore near Hatteras; Diamond Shoals rips</x:v>
      </x:c>
      <x:c r="H21" s="49" t="str">
        <x:v>36 hours was shorter than the planned passage itself and has been increased.</x:v>
      </x:c>
    </x:row>
    <x:row r="22" ht="72" hidden="0" customHeight="1">
      <x:c r="A22" s="46" t="n">
        <x:v>19</x:v>
      </x:c>
      <x:c r="B22" s="46" t="str">
        <x:v>Chesapeake → Sandy Hook</x:v>
      </x:c>
      <x:c r="C22" s="48" t="n">
        <x:v>74</x:v>
      </x:c>
      <x:c r="D22" s="48" t="n">
        <x:v>70</x:v>
      </x:c>
      <x:c r="E22" s="46" t="str">
        <x:v>Spring fronts still active</x:v>
      </x:c>
      <x:c r="F22" s="46" t="str">
        <x:v>SW or dying front; avoid northeaster</x:v>
      </x:c>
      <x:c r="G22" s="46" t="str">
        <x:v>Strong Chesapeake/Delaware entrance tides</x:v>
      </x:c>
      <x:c r="H22" s="49" t="str">
        <x:v>Gulf Stream is far offshore and is not a practical NJ coastal lift.</x:v>
      </x:c>
    </x:row>
    <x:row r="23" ht="120" hidden="0" customHeight="1">
      <x:c r="A23" s="46" t="n">
        <x:v>20</x:v>
      </x:c>
      <x:c r="B23" s="46" t="str">
        <x:v>NY / southern New England</x:v>
      </x:c>
      <x:c r="C23" s="48" t="n">
        <x:v>72</x:v>
      </x:c>
      <x:c r="D23" s="48" t="n">
        <x:v>66</x:v>
      </x:c>
      <x:c r="E23" s="46" t="str">
        <x:v>Cold water and possible fog</x:v>
      </x:c>
      <x:c r="F23" s="46" t="str">
        <x:v>SW sea breeze or light S</x:v>
      </x:c>
      <x:c r="G23" s="46" t="str">
        <x:v>Race, Montauk and Block currents can exceed 2 knots</x:v>
      </x:c>
      <x:c r="H23" s="49" t="str">
        <x:v>Calendar now includes the full cruising period rather than a mismatched 20-night stay.</x:v>
      </x:c>
    </x:row>
    <x:row r="24" ht="60" hidden="0" customHeight="1">
      <x:c r="A24" s="46" t="n">
        <x:v>21</x:v>
      </x:c>
      <x:c r="B24" s="46" t="str">
        <x:v>Maine summer</x:v>
      </x:c>
      <x:c r="C24" s="48" t="n">
        <x:v>70</x:v>
      </x:c>
      <x:c r="D24" s="48" t="n">
        <x:v>60</x:v>
      </x:c>
      <x:c r="E24" s="46" t="str">
        <x:v>Cold water and frequent fog</x:v>
      </x:c>
      <x:c r="F24" s="46" t="str">
        <x:v>SW–S 10–18; dry NW is clearer and cooler</x:v>
      </x:c>
      <x:c r="G24" s="46" t="str">
        <x:v>Strong tidal current in reaches and thorofares</x:v>
      </x:c>
      <x:c r="H24" s="49" t="str">
        <x:v>Good seasonal placement retained.</x:v>
      </x:c>
    </x:row>
    <x:row r="25" ht="72" hidden="0" customHeight="1">
      <x:c r="A25" s="46" t="n">
        <x:v>22</x:v>
      </x:c>
      <x:c r="B25" s="46" t="str">
        <x:v>Maine southbound</x:v>
      </x:c>
      <x:c r="C25" s="48" t="n">
        <x:v>66</x:v>
      </x:c>
      <x:c r="D25" s="48" t="n">
        <x:v>60</x:v>
      </x:c>
      <x:c r="E25" s="46" t="str">
        <x:v>September water remains cold</x:v>
      </x:c>
      <x:c r="F25" s="46" t="str">
        <x:v>First useful NW/N after a front; fair Canal current</x:v>
      </x:c>
      <x:c r="G25" s="46" t="str">
        <x:v>Strong Maine tides; Cape Cod Canal up to several knots</x:v>
      </x:c>
      <x:c r="H25" s="49" t="str">
        <x:v>Date block corrected to 20 total calendar days.</x:v>
      </x:c>
    </x:row>
    <x:row r="26" ht="96" hidden="0" customHeight="1">
      <x:c r="A26" s="46" t="n">
        <x:v>23</x:v>
      </x:c>
      <x:c r="B26" s="46" t="str">
        <x:v>Newport → Cape May</x:v>
      </x:c>
      <x:c r="C26" s="48" t="n">
        <x:v>60</x:v>
      </x:c>
      <x:c r="D26" s="48" t="n">
        <x:v>62</x:v>
      </x:c>
      <x:c r="E26" s="46" t="str">
        <x:v>Autumn air cools quickly</x:v>
      </x:c>
      <x:c r="F26" s="46" t="str">
        <x:v>NW–N after a front; avoid lingering NE</x:v>
      </x:c>
      <x:c r="G26" s="46" t="str">
        <x:v>Minor coastal set; main Stream far offshore</x:v>
      </x:c>
      <x:c r="H26" s="49" t="str">
        <x:v>Removed the claim that a small offshore move provides Gulf Stream lift off NJ.</x:v>
      </x:c>
    </x:row>
    <x:row r="27" ht="108" hidden="0" customHeight="1">
      <x:c r="A27" s="46" t="n">
        <x:v>24</x:v>
      </x:c>
      <x:c r="B27" s="46" t="str">
        <x:v>Cape May → Norfolk</x:v>
      </x:c>
      <x:c r="C27" s="48" t="n">
        <x:v>55</x:v>
      </x:c>
      <x:c r="D27" s="48" t="n">
        <x:v>58</x:v>
      </x:c>
      <x:c r="E27" s="46" t="str">
        <x:v>Cold November finish</x:v>
      </x:c>
      <x:c r="F27" s="46" t="str">
        <x:v>NW–W or light; avoid NE at entrances</x:v>
      </x:c>
      <x:c r="G27" s="46" t="str">
        <x:v>Cape May and Chesapeake tides</x:v>
      </x:c>
      <x:c r="H27" s="49" t="str">
        <x:v>Stay days are now calculated from the actual date range rather than listed as 25 nights.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db233ad17d17424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34" hidden="0" customWidth="1"/>
    <x:col min="4" max="4" width="52" hidden="0" customWidth="1"/>
  </x:cols>
  <x:sheetData>
    <x:row r="1" ht="19.200000762939453" hidden="0" customHeight="1">
      <x:c r="A1" s="2" t="str">
        <x:v>CORRECTED VOYAGE BUDGET SUMMARY</x:v>
      </x:c>
      <x:c r="B1" s="2"/>
      <x:c r="C1" s="2"/>
      <x:c r="D1" s="2"/>
    </x:row>
    <x:row r="2"/>
    <x:row r="3" ht="26.399999618530273" hidden="0" customHeight="1">
      <x:c r="A3" s="5" t="str">
        <x:v>Cost category</x:v>
      </x:c>
      <x:c r="B3" s="5" t="str">
        <x:v>Amount</x:v>
      </x:c>
      <x:c r="C3" s="5" t="str">
        <x:v>Calculation</x:v>
      </x:c>
      <x:c r="D3" s="5" t="str">
        <x:v>Included / excluded</x:v>
      </x:c>
    </x:row>
    <x:row r="4" ht="92.4000015258789" hidden="0" customHeight="1">
      <x:c r="A4" s="52" t="str">
        <x:v>Estimated fuel</x:v>
      </x:c>
      <x:c r="B4" s="53" t="n">
        <x:f>SUM('Route Plan'!P7:P30)</x:f>
        <x:v>1521.040625</x:v>
      </x:c>
      <x:c r="C4" s="52" t="str">
        <x:v>Engine hours × burn × regional fuel price</x:v>
      </x:c>
      <x:c r="D4" s="52" t="str">
        <x:v>Excludes marina electricity and unplanned fuel-price spikes</x:v>
      </x:c>
    </x:row>
    <x:row r="5" ht="66" hidden="0" customHeight="1">
      <x:c r="A5" s="52" t="str">
        <x:v>Passage living</x:v>
      </x:c>
      <x:c r="B5" s="53" t="n">
        <x:f>SUM('Route Plan'!Q7:Q30)</x:f>
        <x:v>1157.9861111111115</x:v>
      </x:c>
      <x:c r="C5" s="52" t="str">
        <x:v>Passage days × passage daily rate × crew</x:v>
      </x:c>
      <x:c r="D5" s="52" t="str">
        <x:v>Food and consumables underway</x:v>
      </x:c>
    </x:row>
    <x:row r="6" ht="79.19999694824219" hidden="0" customHeight="1">
      <x:c r="A6" s="52" t="str">
        <x:v>Stay / anchorage living</x:v>
      </x:c>
      <x:c r="B6" s="53" t="n">
        <x:f>SUM('Route Plan'!R7:R30)</x:f>
        <x:v>11713.819444444443</x:v>
      </x:c>
      <x:c r="C6" s="52" t="str">
        <x:v>Calendar stay days × stay daily rate × crew</x:v>
      </x:c>
      <x:c r="D6" s="52" t="str">
        <x:v>Includes ordinary daily living; excludes paid dockage</x:v>
      </x:c>
    </x:row>
    <x:row r="7" ht="158.39999389648438" hidden="0" customHeight="1">
      <x:c r="A7" s="52" t="str">
        <x:v>Entry and permit allowances</x:v>
      </x:c>
      <x:c r="B7" s="53" t="n">
        <x:f>SUM('Route Plan'!S7:S30)</x:f>
        <x:v>1095</x:v>
      </x:c>
      <x:c r="C7" s="52" t="str">
        <x:v>Editable row-by-row allowances</x:v>
      </x:c>
      <x:c r="D7" s="52" t="str">
        <x:v>Bahamas allowance uses current 30-day permit + anchorage schedule; other jurisdictions remain estimates</x:v>
      </x:c>
    </x:row>
    <x:row r="8" ht="52.79999923706055" hidden="0" customHeight="1">
      <x:c r="A8" s="54" t="str">
        <x:v>Variable operating subtotal</x:v>
      </x:c>
      <x:c r="B8" s="55" t="n">
        <x:f>SUM(B4:B7)</x:f>
        <x:v>15487.846180555556</x:v>
      </x:c>
      <x:c r="C8" s="54" t="str">
        <x:v>Fuel + living + entry/permit</x:v>
      </x:c>
      <x:c r="D8" s="54" t="str">
        <x:v>No repair reserve yet</x:v>
      </x:c>
    </x:row>
    <x:row r="9" ht="39.599998474121094" hidden="0" customHeight="1">
      <x:c r="A9" s="54" t="str">
        <x:v>Financial contingency</x:v>
      </x:c>
      <x:c r="B9" s="55" t="n">
        <x:f>B8*'Assumptions &amp; Sources'!$B$14</x:f>
        <x:v>2323.1769270833333</x:v>
      </x:c>
      <x:c r="C9" s="54" t="str">
        <x:v>Subtotal × contingency %</x:v>
      </x:c>
      <x:c r="D9" s="54" t="str">
        <x:v>Editable in assumptions</x:v>
      </x:c>
    </x:row>
    <x:row r="10" ht="52.79999923706055" hidden="0" customHeight="1">
      <x:c r="A10" s="54" t="str">
        <x:v>Variable cost with contingency</x:v>
      </x:c>
      <x:c r="B10" s="55" t="n">
        <x:f>B8+B9</x:f>
        <x:v>17811.023107638888</x:v>
      </x:c>
      <x:c r="C10" s="54" t="str">
        <x:v>Subtotal + contingency</x:v>
      </x:c>
      <x:c r="D10" s="54" t="str">
        <x:v>Operating plan</x:v>
      </x:c>
    </x:row>
    <x:row r="11" ht="52.79999923706055" hidden="0" customHeight="1">
      <x:c r="A11" s="54" t="str">
        <x:v>Maintenance / repair reserve</x:v>
      </x:c>
      <x:c r="B11" s="55" t="n">
        <x:f>'Assumptions &amp; Sources'!$B$15</x:f>
        <x:v>10000</x:v>
      </x:c>
      <x:c r="C11" s="54" t="str">
        <x:v>Editable annual reserve</x:v>
      </x:c>
      <x:c r="D11" s="54" t="str">
        <x:v>Not guaranteed to be sufficient</x:v>
      </x:c>
    </x:row>
    <x:row r="12" ht="118.80000305175781" hidden="0" customHeight="1">
      <x:c r="A12" s="59" t="str">
        <x:v>Planning total</x:v>
      </x:c>
      <x:c r="B12" s="59" t="n">
        <x:f>B10+B11</x:f>
        <x:v>27811.023107638888</x:v>
      </x:c>
      <x:c r="C12" s="59" t="str">
        <x:v>Variable cost + contingency + repair reserve</x:v>
      </x:c>
      <x:c r="D12" s="59" t="str">
        <x:v>Still excludes insurance, major refit, flights and paid marina nights</x:v>
      </x:c>
    </x:row>
    <x:row r="13" ht="79.19999694824219" hidden="0" customHeight="1">
      <x:c r="A13" s="52" t="str">
        <x:v>Original table total</x:v>
      </x:c>
      <x:c r="B13" s="53" t="n">
        <x:f>4417</x:f>
        <x:v>4417</x:v>
      </x:c>
      <x:c r="C13" s="52" t="str">
        <x:v>Fuel plus passage-only living from supplied table</x:v>
      </x:c>
      <x:c r="D13" s="52" t="str">
        <x:v>Not a full-year cruising budget</x:v>
      </x:c>
    </x:row>
    <x:row r="14" ht="105.5999984741211" hidden="0" customHeight="1">
      <x:c r="A14" s="60" t="str">
        <x:v>Increase vs original</x:v>
      </x:c>
      <x:c r="B14" s="61" t="n">
        <x:f>B12-B13</x:f>
        <x:v>23394.023107638888</x:v>
      </x:c>
      <x:c r="C14" s="60" t="str">
        <x:v>Shows what the original total omitted</x:v>
      </x:c>
      <x:c r="D14" s="60" t="str">
        <x:v>Primary correction is adding 334+ days of stay living and maintenance reserve</x:v>
      </x:c>
    </x:row>
    <x:row r="15"/>
    <x:row r="16" ht="52.79999923706055" hidden="0" customHeight="1">
      <x:c r="A16" s="62" t="str">
        <x:v>All yellow assumption cells are editable. Replace engine burn, fuel prices, daily spending, crew count and maintenance reserve when the actual boat is selected.</x:v>
      </x:c>
      <x:c r="B16" s="62"/>
      <x:c r="C16" s="62"/>
      <x:c r="D16" s="62"/>
    </x:row>
  </x:sheetData>
  <x:mergeCells>
    <x:mergeCell ref="A1:D1"/>
    <x:mergeCell ref="A16:D1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5" hidden="0" customWidth="1"/>
    <x:col min="3" max="3" width="42" hidden="0" customWidth="1"/>
    <x:col min="4" max="4" width="58" hidden="0" customWidth="1"/>
  </x:cols>
  <x:sheetData>
    <x:row r="1" ht="19.200000762939453" hidden="0" customHeight="1">
      <x:c r="A1" s="2" t="str">
        <x:v>CORRECTED PASSAGE PLAN — ASSUMPTIONS &amp; SOURCES</x:v>
      </x:c>
      <x:c r="B1" s="2"/>
      <x:c r="C1" s="2"/>
      <x:c r="D1" s="2"/>
    </x:row>
    <x:row r="2"/>
    <x:row r="3" ht="39.599998474121094" hidden="0" customHeight="1">
      <x:c r="A3" s="5" t="str">
        <x:v>Editable assumption</x:v>
      </x:c>
      <x:c r="B3" s="5" t="str">
        <x:v>Value</x:v>
      </x:c>
      <x:c r="C3" s="5" t="str">
        <x:v>Why it matters</x:v>
      </x:c>
      <x:c r="D3" s="5" t="str">
        <x:v>Source / note</x:v>
      </x:c>
    </x:row>
    <x:row r="4" ht="15" hidden="0" customHeight="1">
      <x:c r="A4" t="str">
        <x:v>Planning speed (kn)</x:v>
      </x:c>
      <x:c r="B4" s="7" t="n">
        <x:v>4.8</x:v>
      </x:c>
      <x:c r="C4" t="str">
        <x:v>Conservative loaded-cruiser average</x:v>
      </x:c>
      <x:c r="D4" t="str">
        <x:v>Editable; original table used 5.5 kn</x:v>
      </x:c>
    </x:row>
    <x:row r="5" ht="15" hidden="0" customHeight="1">
      <x:c r="A5" t="str">
        <x:v>Offshore motoring share</x:v>
      </x:c>
      <x:c r="B5" s="8" t="n">
        <x:v>0.35</x:v>
      </x:c>
      <x:c r="C5" t="str">
        <x:v>Expected engine hours offshore</x:v>
      </x:c>
      <x:c r="D5" t="str">
        <x:v>Planning assumption</x:v>
      </x:c>
    </x:row>
    <x:row r="6" ht="15" hidden="0" customHeight="1">
      <x:c r="A6" t="str">
        <x:v>Coastal motoring share</x:v>
      </x:c>
      <x:c r="B6" s="8" t="n">
        <x:v>0.5</x:v>
      </x:c>
      <x:c r="C6" t="str">
        <x:v>Expected engine hours on coastal legs</x:v>
      </x:c>
      <x:c r="D6" t="str">
        <x:v>Planning assumption</x:v>
      </x:c>
    </x:row>
    <x:row r="7" ht="15" hidden="0" customHeight="1">
      <x:c r="A7" t="str">
        <x:v>Island-hop motoring share</x:v>
      </x:c>
      <x:c r="B7" s="8" t="n">
        <x:v>0.25</x:v>
      </x:c>
      <x:c r="C7" t="str">
        <x:v>Expected engine hours between islands</x:v>
      </x:c>
      <x:c r="D7" t="str">
        <x:v>Planning assumption</x:v>
      </x:c>
    </x:row>
    <x:row r="8" ht="15" hidden="0" customHeight="1">
      <x:c r="A8" t="str">
        <x:v>Engine burn (gal/hr)</x:v>
      </x:c>
      <x:c r="B8" s="7" t="n">
        <x:v>0.65</x:v>
      </x:c>
      <x:c r="C8" t="str">
        <x:v>Replace with measured burn from selected boat</x:v>
      </x:c>
      <x:c r="D8" t="str">
        <x:v>Editable</x:v>
      </x:c>
    </x:row>
    <x:row r="9" ht="15" hidden="0" customHeight="1">
      <x:c r="A9" t="str">
        <x:v>U.S. diesel ($/gal)</x:v>
      </x:c>
      <x:c r="B9" s="9" t="n">
        <x:v>4.5</x:v>
      </x:c>
      <x:c r="C9" t="str">
        <x:v>Fuel-cost calculation</x:v>
      </x:c>
      <x:c r="D9" t="str">
        <x:v>Editable</x:v>
      </x:c>
    </x:row>
    <x:row r="10" ht="15" hidden="0" customHeight="1">
      <x:c r="A10" t="str">
        <x:v>Island diesel ($/gal)</x:v>
      </x:c>
      <x:c r="B10" s="9" t="n">
        <x:v>6</x:v>
      </x:c>
      <x:c r="C10" t="str">
        <x:v>Fuel-cost calculation</x:v>
      </x:c>
      <x:c r="D10" t="str">
        <x:v>Editable</x:v>
      </x:c>
    </x:row>
    <x:row r="11" ht="15" hidden="0" customHeight="1">
      <x:c r="A11" t="str">
        <x:v>Passage living ($/person/day)</x:v>
      </x:c>
      <x:c r="B11" s="9" t="n">
        <x:v>25</x:v>
      </x:c>
      <x:c r="C11" t="str">
        <x:v>Food and consumables while underway</x:v>
      </x:c>
      <x:c r="D11" t="str">
        <x:v>Editable; crew count below</x:v>
      </x:c>
    </x:row>
    <x:row r="12" ht="15" hidden="0" customHeight="1">
      <x:c r="A12" t="str">
        <x:v>Stay living ($/person/day)</x:v>
      </x:c>
      <x:c r="B12" s="9" t="n">
        <x:v>35</x:v>
      </x:c>
      <x:c r="C12" t="str">
        <x:v>Food, laundry and ordinary shore spending</x:v>
      </x:c>
      <x:c r="D12" t="str">
        <x:v>Editable; excludes marina nights</x:v>
      </x:c>
    </x:row>
    <x:row r="13" ht="15" hidden="0" customHeight="1">
      <x:c r="A13" t="str">
        <x:v>Provisioning time reserve</x:v>
      </x:c>
      <x:c r="B13" s="8" t="n">
        <x:v>0.5</x:v>
      </x:c>
      <x:c r="C13" t="str">
        <x:v>Extra days of food/water carried</x:v>
      </x:c>
      <x:c r="D13" t="str">
        <x:v>50% beyond computed passage time</x:v>
      </x:c>
    </x:row>
    <x:row r="14" ht="15" hidden="0" customHeight="1">
      <x:c r="A14" t="str">
        <x:v>Financial contingency</x:v>
      </x:c>
      <x:c r="B14" s="8" t="n">
        <x:v>0.15</x:v>
      </x:c>
      <x:c r="C14" t="str">
        <x:v>Applied to variable route costs</x:v>
      </x:c>
      <x:c r="D14" t="str">
        <x:v>Editable</x:v>
      </x:c>
    </x:row>
    <x:row r="15" ht="15" hidden="0" customHeight="1">
      <x:c r="A15" t="str">
        <x:v>Maintenance/repair reserve</x:v>
      </x:c>
      <x:c r="B15" s="10" t="n">
        <x:v>10000</x:v>
      </x:c>
      <x:c r="C15" t="str">
        <x:v>Older bluewater cruiser annual reserve</x:v>
      </x:c>
      <x:c r="D15" t="str">
        <x:v>Editable; not a prediction</x:v>
      </x:c>
    </x:row>
    <x:row r="16" ht="15" hidden="0" customHeight="1">
      <x:c r="A16" t="str">
        <x:v>Crew count</x:v>
      </x:c>
      <x:c r="B16" s="7" t="n">
        <x:v>1</x:v>
      </x:c>
      <x:c r="C16" t="str">
        <x:v>Scales passage and stay living costs</x:v>
      </x:c>
      <x:c r="D16" t="str">
        <x:v>Solo plan</x:v>
      </x:c>
    </x:row>
    <x:row r="17"/>
    <x:row r="18" ht="26.399999618530273" hidden="0" customHeight="1">
      <x:c r="A18" s="13" t="str">
        <x:v>Source key</x:v>
      </x:c>
      <x:c r="B18" s="13" t="str">
        <x:v>Purpose</x:v>
      </x:c>
      <x:c r="C18" s="13" t="str">
        <x:v>URL</x:v>
      </x:c>
      <x:c r="D18" s="13" t="str">
        <x:v>Checked / limitation</x:v>
      </x:c>
    </x:row>
    <x:row r="19" ht="15" hidden="0" customHeight="1">
      <x:c r="A19" t="str">
        <x:v>BERMUDA_ENTRY</x:v>
      </x:c>
      <x:c r="B19" t="str">
        <x:v>Yacht pre-arrival and Bermuda clearance</x:v>
      </x:c>
      <x:c r="C19" t="str">
        <x:v>https://www.marineandports.bm/of_visitingyacht.aspx</x:v>
      </x:c>
      <x:c r="D19" t="str">
        <x:v>Verify immediately before departure</x:v>
      </x:c>
    </x:row>
    <x:row r="20" ht="15" hidden="0" customHeight="1">
      <x:c r="A20" t="str">
        <x:v>NOAA_STREAM</x:v>
      </x:c>
      <x:c r="B20" t="str">
        <x:v>Current Gulf Stream position and analysis</x:v>
      </x:c>
      <x:c r="C20" t="str">
        <x:v>https://ocean.weather.gov/gulf_stream.php</x:v>
      </x:c>
      <x:c r="D20" t="str">
        <x:v>Position changes; never rely on climatology alone</x:v>
      </x:c>
    </x:row>
    <x:row r="21" ht="15" hidden="0" customHeight="1">
      <x:c r="A21" t="str">
        <x:v>NOAA_COAST_PILOT</x:v>
      </x:c>
      <x:c r="B21" t="str">
        <x:v>U.S. coastal navigation references</x:v>
      </x:c>
      <x:c r="C21" t="str">
        <x:v>https://nauticalcharts.noaa.gov/publications/coast-pilot/index.html</x:v>
      </x:c>
      <x:c r="D21" t="str">
        <x:v>Use current edition and notices</x:v>
      </x:c>
    </x:row>
    <x:row r="22" ht="15" hidden="0" customHeight="1">
      <x:c r="A22" t="str">
        <x:v>BAHAMAS_RULES</x:v>
      </x:c>
      <x:c r="B22" t="str">
        <x:v>Bahamas cruising-permit and anchorage fees</x:v>
      </x:c>
      <x:c r="C22" t="str">
        <x:v>https://www.bahamas.com/getting-here/boating/boat-regulations</x:v>
      </x:c>
      <x:c r="D22" t="str">
        <x:v>2026 schedule; recheck for 2027</x:v>
      </x:c>
    </x:row>
    <x:row r="23" ht="15" hidden="0" customHeight="1">
      <x:c r="A23" t="str">
        <x:v>CBP_FL</x:v>
      </x:c>
      <x:c r="B23" t="str">
        <x:v>Florida pleasure-boat arrival and ROAM information</x:v>
      </x:c>
      <x:c r="C23" t="str">
        <x:v>https://www.cbp.gov/travel/pleasure-boats/pleasure-boat-locations/fl</x:v>
      </x:c>
      <x:c r="D23" t="str">
        <x:v>CBP may require in-person inspection</x:v>
      </x:c>
    </x:row>
    <x:row r="24" ht="15" hidden="0" customHeight="1">
      <x:c r="A24" t="str">
        <x:v>NHC</x:v>
      </x:c>
      <x:c r="B24" t="str">
        <x:v>Atlantic tropical weather</x:v>
      </x:c>
      <x:c r="C24" t="str">
        <x:v>https://www.nhc.noaa.gov/</x:v>
      </x:c>
      <x:c r="D24" t="str">
        <x:v>Forecast source, not seasonal guarantee</x:v>
      </x:c>
    </x:row>
    <x:row r="25" ht="15" hidden="0" customHeight="1">
      <x:c r="A25" t="str">
        <x:v>BWS</x:v>
      </x:c>
      <x:c r="B25" t="str">
        <x:v>Bermuda official weather</x:v>
      </x:c>
      <x:c r="C25" t="str">
        <x:v>https://www.weather.bm/</x:v>
      </x:c>
      <x:c r="D25" t="str">
        <x:v>Use before Bermuda arrival/departure</x:v>
      </x:c>
    </x:row>
    <x:row r="26"/>
    <x:row r="27" ht="79.19999694824219" hidden="0" customHeight="1">
      <x:c r="A27" s="16" t="str">
        <x:v>Important: dates are seasonal targets, not departure commitments. Every offshore leg requires a fresh forecast, current analysis, vessel-specific fuel/range calculation, and legal clearance confirmation.</x:v>
      </x:c>
      <x:c r="B27" s="16"/>
      <x:c r="C27" s="16"/>
      <x:c r="D27" s="16"/>
    </x:row>
  </x:sheetData>
  <x:mergeCells>
    <x:mergeCell ref="A1:D1"/>
    <x:mergeCell ref="A27:D27"/>
  </x:mergeCells>
  <x:pageMargins left="0.7" right="0.7" top="0.75" bottom="0.75" header="0.3" footer="0.3"/>
</x:worksheet>
</file>